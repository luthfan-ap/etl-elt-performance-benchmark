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1B3ED58-F21A-40FE-BCC5-106E5171B2AB}" xr6:coauthVersionLast="47" xr6:coauthVersionMax="47" xr10:uidLastSave="{00000000-0000-0000-0000-000000000000}"/>
  <bookViews>
    <workbookView xWindow="-108" yWindow="-108" windowWidth="23256" windowHeight="13176" tabRatio="850" activeTab="2" xr2:uid="{00000000-000D-0000-FFFF-FFFF00000000}"/>
  </bookViews>
  <sheets>
    <sheet name="README" sheetId="1" r:id="rId1"/>
    <sheet name="Raw Scenario Times" sheetId="2" r:id="rId2"/>
    <sheet name="Run Totals" sheetId="3" r:id="rId3"/>
    <sheet name="Runtime Summary" sheetId="4" r:id="rId4"/>
    <sheet name="Phase Summary" sheetId="5" r:id="rId5"/>
    <sheet name="Improvement Summary" sheetId="6" r:id="rId6"/>
    <sheet name="Dashboard" sheetId="7" r:id="rId7"/>
    <sheet name="Spark Metrics Summary" sheetId="8" r:id="rId8"/>
    <sheet name="DBT Mart Summary" sheetId="9" r:id="rId9"/>
    <sheet name="Resource Summary" sheetId="10" r:id="rId10"/>
    <sheet name="Formula Map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7" l="1"/>
  <c r="B17" i="7"/>
  <c r="C16" i="7"/>
  <c r="B16" i="7"/>
  <c r="C15" i="7"/>
  <c r="B15" i="7"/>
  <c r="I16" i="5"/>
  <c r="F16" i="5"/>
  <c r="G16" i="5" s="1"/>
  <c r="E16" i="5"/>
  <c r="D16" i="5"/>
  <c r="I15" i="5"/>
  <c r="F15" i="5"/>
  <c r="J15" i="5" s="1"/>
  <c r="E15" i="5"/>
  <c r="D15" i="5"/>
  <c r="I14" i="5"/>
  <c r="F14" i="5"/>
  <c r="E14" i="5"/>
  <c r="D14" i="5"/>
  <c r="I13" i="5"/>
  <c r="F13" i="5"/>
  <c r="E13" i="5"/>
  <c r="D13" i="5"/>
  <c r="I12" i="5"/>
  <c r="G12" i="5"/>
  <c r="F12" i="5"/>
  <c r="E12" i="5"/>
  <c r="D12" i="5"/>
  <c r="I11" i="5"/>
  <c r="F11" i="5"/>
  <c r="E11" i="5"/>
  <c r="D11" i="5"/>
  <c r="I10" i="5"/>
  <c r="F10" i="5"/>
  <c r="E10" i="5"/>
  <c r="D10" i="5"/>
  <c r="I9" i="5"/>
  <c r="F9" i="5"/>
  <c r="E9" i="5"/>
  <c r="D9" i="5"/>
  <c r="I8" i="5"/>
  <c r="F8" i="5"/>
  <c r="E8" i="5"/>
  <c r="D8" i="5"/>
  <c r="I7" i="5"/>
  <c r="F7" i="5"/>
  <c r="E7" i="5"/>
  <c r="D7" i="5"/>
  <c r="I6" i="5"/>
  <c r="F6" i="5"/>
  <c r="E6" i="5"/>
  <c r="D6" i="5"/>
  <c r="I5" i="5"/>
  <c r="F5" i="5"/>
  <c r="E5" i="5"/>
  <c r="D5" i="5"/>
  <c r="I4" i="5"/>
  <c r="F4" i="5"/>
  <c r="E4" i="5"/>
  <c r="D4" i="5"/>
  <c r="I3" i="5"/>
  <c r="F3" i="5"/>
  <c r="E3" i="5"/>
  <c r="D3" i="5"/>
  <c r="I2" i="5"/>
  <c r="F2" i="5"/>
  <c r="E2" i="5"/>
  <c r="D2" i="5"/>
  <c r="H10" i="4"/>
  <c r="H9" i="4"/>
  <c r="H8" i="4"/>
  <c r="H7" i="4"/>
  <c r="H6" i="4"/>
  <c r="H5" i="4"/>
  <c r="H4" i="4"/>
  <c r="H3" i="4"/>
  <c r="H2" i="4"/>
  <c r="G28" i="3"/>
  <c r="E28" i="3"/>
  <c r="F28" i="3" s="1"/>
  <c r="G27" i="3"/>
  <c r="E27" i="3"/>
  <c r="F27" i="3" s="1"/>
  <c r="H27" i="3" s="1"/>
  <c r="D10" i="4" s="1"/>
  <c r="G26" i="3"/>
  <c r="E26" i="3"/>
  <c r="F26" i="3" s="1"/>
  <c r="G25" i="3"/>
  <c r="E25" i="3"/>
  <c r="F25" i="3" s="1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G17" i="3"/>
  <c r="E17" i="3"/>
  <c r="F17" i="3" s="1"/>
  <c r="G16" i="3"/>
  <c r="E16" i="3"/>
  <c r="F16" i="3" s="1"/>
  <c r="G15" i="3"/>
  <c r="E15" i="3"/>
  <c r="F15" i="3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H7" i="3" s="1"/>
  <c r="E3" i="4" s="1"/>
  <c r="G6" i="3"/>
  <c r="E6" i="3"/>
  <c r="F6" i="3" s="1"/>
  <c r="G5" i="3"/>
  <c r="E5" i="3"/>
  <c r="F5" i="3" s="1"/>
  <c r="G4" i="3"/>
  <c r="E4" i="3"/>
  <c r="F4" i="3" s="1"/>
  <c r="G3" i="3"/>
  <c r="E3" i="3"/>
  <c r="F3" i="3" s="1"/>
  <c r="G2" i="3"/>
  <c r="E2" i="3"/>
  <c r="F2" i="3" s="1"/>
  <c r="H2" i="3" l="1"/>
  <c r="C2" i="4" s="1"/>
  <c r="H4" i="3"/>
  <c r="E2" i="4" s="1"/>
  <c r="H6" i="3"/>
  <c r="D3" i="4" s="1"/>
  <c r="J2" i="5"/>
  <c r="G4" i="5"/>
  <c r="H5" i="5"/>
  <c r="J6" i="5"/>
  <c r="J10" i="5"/>
  <c r="H8" i="3"/>
  <c r="C4" i="4" s="1"/>
  <c r="H10" i="3"/>
  <c r="E4" i="4" s="1"/>
  <c r="H14" i="3"/>
  <c r="C6" i="4" s="1"/>
  <c r="H16" i="3"/>
  <c r="E6" i="4" s="1"/>
  <c r="H18" i="3"/>
  <c r="D7" i="4" s="1"/>
  <c r="H20" i="3"/>
  <c r="C8" i="4" s="1"/>
  <c r="H22" i="3"/>
  <c r="E8" i="4" s="1"/>
  <c r="H26" i="3"/>
  <c r="C10" i="4" s="1"/>
  <c r="H21" i="3"/>
  <c r="D8" i="4" s="1"/>
  <c r="H17" i="3"/>
  <c r="C7" i="4" s="1"/>
  <c r="J14" i="5"/>
  <c r="H5" i="3"/>
  <c r="C3" i="4" s="1"/>
  <c r="J3" i="4" s="1"/>
  <c r="H11" i="3"/>
  <c r="C5" i="4" s="1"/>
  <c r="H23" i="3"/>
  <c r="C9" i="4" s="1"/>
  <c r="G2" i="5"/>
  <c r="G6" i="5"/>
  <c r="J7" i="5"/>
  <c r="K8" i="5"/>
  <c r="J11" i="5"/>
  <c r="K12" i="5"/>
  <c r="J5" i="5"/>
  <c r="H9" i="3"/>
  <c r="D4" i="4" s="1"/>
  <c r="I4" i="4" s="1"/>
  <c r="H13" i="3"/>
  <c r="E5" i="4" s="1"/>
  <c r="H15" i="3"/>
  <c r="D6" i="4" s="1"/>
  <c r="J6" i="4" s="1"/>
  <c r="H24" i="3"/>
  <c r="D9" i="4" s="1"/>
  <c r="G5" i="5"/>
  <c r="H8" i="5"/>
  <c r="G10" i="5"/>
  <c r="H13" i="5"/>
  <c r="J13" i="5"/>
  <c r="H3" i="3"/>
  <c r="D2" i="4" s="1"/>
  <c r="H12" i="3"/>
  <c r="D5" i="4" s="1"/>
  <c r="H19" i="3"/>
  <c r="E7" i="4" s="1"/>
  <c r="J7" i="4" s="1"/>
  <c r="H28" i="3"/>
  <c r="E10" i="4" s="1"/>
  <c r="H4" i="5"/>
  <c r="H9" i="5"/>
  <c r="J9" i="5"/>
  <c r="G13" i="5"/>
  <c r="H25" i="3"/>
  <c r="E9" i="4" s="1"/>
  <c r="J3" i="5"/>
  <c r="K4" i="5"/>
  <c r="G8" i="5"/>
  <c r="G9" i="5"/>
  <c r="H12" i="5"/>
  <c r="G14" i="5"/>
  <c r="J2" i="4"/>
  <c r="G8" i="4"/>
  <c r="I8" i="4"/>
  <c r="K11" i="5"/>
  <c r="K15" i="5"/>
  <c r="K2" i="5"/>
  <c r="G3" i="5"/>
  <c r="K6" i="5"/>
  <c r="G7" i="5"/>
  <c r="K10" i="5"/>
  <c r="G11" i="5"/>
  <c r="K14" i="5"/>
  <c r="G15" i="5"/>
  <c r="H16" i="5"/>
  <c r="J16" i="5"/>
  <c r="K7" i="5"/>
  <c r="H3" i="5"/>
  <c r="J4" i="5"/>
  <c r="K5" i="5"/>
  <c r="H7" i="5"/>
  <c r="J8" i="5"/>
  <c r="K9" i="5"/>
  <c r="H11" i="5"/>
  <c r="J12" i="5"/>
  <c r="K13" i="5"/>
  <c r="H15" i="5"/>
  <c r="K3" i="5"/>
  <c r="H2" i="5"/>
  <c r="H6" i="5"/>
  <c r="H10" i="5"/>
  <c r="H14" i="5"/>
  <c r="K16" i="5"/>
  <c r="F7" i="4" l="1"/>
  <c r="F8" i="4"/>
  <c r="I5" i="4"/>
  <c r="F2" i="4"/>
  <c r="G4" i="4"/>
  <c r="G3" i="4"/>
  <c r="C9" i="7" s="1"/>
  <c r="J10" i="4"/>
  <c r="I7" i="4"/>
  <c r="J8" i="4"/>
  <c r="G7" i="4"/>
  <c r="D10" i="7" s="1"/>
  <c r="F9" i="4"/>
  <c r="F6" i="4"/>
  <c r="I3" i="4"/>
  <c r="G2" i="4"/>
  <c r="B10" i="6" s="1"/>
  <c r="E10" i="6" s="1"/>
  <c r="F3" i="4"/>
  <c r="I2" i="4"/>
  <c r="J9" i="4"/>
  <c r="G10" i="4"/>
  <c r="C6" i="6" s="1"/>
  <c r="F4" i="4"/>
  <c r="F10" i="4"/>
  <c r="I10" i="4"/>
  <c r="J4" i="4"/>
  <c r="I9" i="4"/>
  <c r="F5" i="4"/>
  <c r="G6" i="4"/>
  <c r="B5" i="6" s="1"/>
  <c r="G5" i="4"/>
  <c r="B4" i="6" s="1"/>
  <c r="I6" i="4"/>
  <c r="J5" i="4"/>
  <c r="G9" i="4"/>
  <c r="C5" i="6" s="1"/>
  <c r="D5" i="6" s="1"/>
  <c r="D11" i="7"/>
  <c r="B12" i="6"/>
  <c r="C4" i="6"/>
  <c r="B11" i="7"/>
  <c r="C11" i="7"/>
  <c r="B6" i="6"/>
  <c r="C11" i="6"/>
  <c r="D9" i="7"/>
  <c r="C10" i="6"/>
  <c r="B10" i="7" l="1"/>
  <c r="C10" i="7"/>
  <c r="C12" i="6"/>
  <c r="D12" i="6" s="1"/>
  <c r="B6" i="7"/>
  <c r="B5" i="7" s="1"/>
  <c r="D16" i="7" s="1"/>
  <c r="B9" i="7"/>
  <c r="B11" i="6"/>
  <c r="D11" i="6" s="1"/>
  <c r="D10" i="6"/>
  <c r="E12" i="6"/>
  <c r="B4" i="7"/>
  <c r="B3" i="7" s="1"/>
  <c r="D4" i="6"/>
  <c r="D6" i="6"/>
  <c r="D17" i="7"/>
  <c r="D15" i="7" l="1"/>
  <c r="E11" i="6"/>
</calcChain>
</file>

<file path=xl/sharedStrings.xml><?xml version="1.0" encoding="utf-8"?>
<sst xmlns="http://schemas.openxmlformats.org/spreadsheetml/2006/main" count="708" uniqueCount="229">
  <si>
    <t>TPC-H SF5 Formula-Driven Experiment Analysis</t>
  </si>
  <si>
    <t>Purpose</t>
  </si>
  <si>
    <t>This workbook rebuilds the key summaries using Excel formulas, so the source of each number is auditable.</t>
  </si>
  <si>
    <t>Primary raw source</t>
  </si>
  <si>
    <t>Raw Scenario Times sheet, copied from logs/metrics/scenario_times.csv.</t>
  </si>
  <si>
    <t>Formula sheets</t>
  </si>
  <si>
    <t>Run Totals, Runtime Summary, Phase Summary, Improvement Summary, Dashboard.</t>
  </si>
  <si>
    <t>Formula color</t>
  </si>
  <si>
    <t>Yellow cells contain formulas. Green cells contain raw or manually listed scenario dimensions.</t>
  </si>
  <si>
    <t>Total runtime logic</t>
  </si>
  <si>
    <t>ETL total = spark_etl_total. ELT/Hybrid total = Spark phase + dbt_transform.</t>
  </si>
  <si>
    <t>Spark phase logic</t>
  </si>
  <si>
    <t>ETL=spark_etl_total; ELT=spark_extract_load; Hybrid=spark_extract_clean_load.</t>
  </si>
  <si>
    <t>Std meaning</t>
  </si>
  <si>
    <t>STDEV.S across run1, run2, and run3 for the same architecture/format.</t>
  </si>
  <si>
    <t>Parsed reference sheets</t>
  </si>
  <si>
    <t>Spark Metrics Summary, DBT Mart Summary, and Resource Summary are included as parsed reference values.</t>
  </si>
  <si>
    <t>Caveat</t>
  </si>
  <si>
    <t>Resource summary is recovered from resource_samples; use runtime, dbt, and Spark event metrics as the primary evidence.</t>
  </si>
  <si>
    <t>Generated file</t>
  </si>
  <si>
    <t>tpch_sf5_formula_analysis.xlsx</t>
  </si>
  <si>
    <t>Scale factor</t>
  </si>
  <si>
    <t>sf5</t>
  </si>
  <si>
    <t>timestamp</t>
  </si>
  <si>
    <t>scale_factor</t>
  </si>
  <si>
    <t>architecture</t>
  </si>
  <si>
    <t>format</t>
  </si>
  <si>
    <t>run</t>
  </si>
  <si>
    <t>phase</t>
  </si>
  <si>
    <t>elapsed_seconds</t>
  </si>
  <si>
    <t>status</t>
  </si>
  <si>
    <t>log_file</t>
  </si>
  <si>
    <t>2026-06-26 01:37:21</t>
  </si>
  <si>
    <t>SYSTEM</t>
  </si>
  <si>
    <t>none</t>
  </si>
  <si>
    <t>dbt_debug</t>
  </si>
  <si>
    <t>/Users/lpurwito/Documents/personal/etl-elt-performance-benchmark/logs/overnight/dbt_debug.log</t>
  </si>
  <si>
    <t>2026-06-26 01:37:51</t>
  </si>
  <si>
    <t>ETL</t>
  </si>
  <si>
    <t>csv</t>
  </si>
  <si>
    <t>spark_etl_total</t>
  </si>
  <si>
    <t>/Users/lpurwito/Documents/personal/etl-elt-performance-benchmark/logs/overnight/etl_csv_run1.log</t>
  </si>
  <si>
    <t>2026-06-26 01:42:27</t>
  </si>
  <si>
    <t>ELT</t>
  </si>
  <si>
    <t>spark_extract_load</t>
  </si>
  <si>
    <t>/Users/lpurwito/Documents/personal/etl-elt-performance-benchmark/logs/overnight/elt_load_csv_run1.log</t>
  </si>
  <si>
    <t>2026-06-26 01:44:30</t>
  </si>
  <si>
    <t>dbt_transform</t>
  </si>
  <si>
    <t>/Users/lpurwito/Documents/personal/etl-elt-performance-benchmark/logs/overnight/elt_dbt_csv_run1.log</t>
  </si>
  <si>
    <t>2026-06-26 01:47:07</t>
  </si>
  <si>
    <t>Hybrid</t>
  </si>
  <si>
    <t>spark_extract_clean_load</t>
  </si>
  <si>
    <t>/Users/lpurwito/Documents/personal/etl-elt-performance-benchmark/logs/overnight/hybrid_load_csv_run1.log</t>
  </si>
  <si>
    <t>2026-06-26 01:48:08</t>
  </si>
  <si>
    <t>/Users/lpurwito/Documents/personal/etl-elt-performance-benchmark/logs/overnight/hybrid_dbt_csv_run1.log</t>
  </si>
  <si>
    <t>2026-06-26 01:49:11</t>
  </si>
  <si>
    <t>jsonl</t>
  </si>
  <si>
    <t>/Users/lpurwito/Documents/personal/etl-elt-performance-benchmark/logs/overnight/etl_jsonl_run1.log</t>
  </si>
  <si>
    <t>2026-06-26 01:54:28</t>
  </si>
  <si>
    <t>/Users/lpurwito/Documents/personal/etl-elt-performance-benchmark/logs/overnight/elt_load_jsonl_run1.log</t>
  </si>
  <si>
    <t>2026-06-26 01:56:40</t>
  </si>
  <si>
    <t>/Users/lpurwito/Documents/personal/etl-elt-performance-benchmark/logs/overnight/elt_dbt_jsonl_run1.log</t>
  </si>
  <si>
    <t>2026-06-26 01:59:20</t>
  </si>
  <si>
    <t>/Users/lpurwito/Documents/personal/etl-elt-performance-benchmark/logs/overnight/hybrid_load_jsonl_run1.log</t>
  </si>
  <si>
    <t>2026-06-26 02:00:11</t>
  </si>
  <si>
    <t>/Users/lpurwito/Documents/personal/etl-elt-performance-benchmark/logs/overnight/hybrid_dbt_jsonl_run1.log</t>
  </si>
  <si>
    <t>2026-06-26 02:00:23</t>
  </si>
  <si>
    <t>parquet</t>
  </si>
  <si>
    <t>/Users/lpurwito/Documents/personal/etl-elt-performance-benchmark/logs/overnight/etl_parquet_run1.log</t>
  </si>
  <si>
    <t>2026-06-26 02:04:07</t>
  </si>
  <si>
    <t>/Users/lpurwito/Documents/personal/etl-elt-performance-benchmark/logs/overnight/elt_load_parquet_run1.log</t>
  </si>
  <si>
    <t>2026-06-26 02:06:18</t>
  </si>
  <si>
    <t>/Users/lpurwito/Documents/personal/etl-elt-performance-benchmark/logs/overnight/elt_dbt_parquet_run1.log</t>
  </si>
  <si>
    <t>2026-06-26 02:08:07</t>
  </si>
  <si>
    <t>/Users/lpurwito/Documents/personal/etl-elt-performance-benchmark/logs/overnight/hybrid_load_parquet_run1.log</t>
  </si>
  <si>
    <t>2026-06-26 02:08:56</t>
  </si>
  <si>
    <t>/Users/lpurwito/Documents/personal/etl-elt-performance-benchmark/logs/overnight/hybrid_dbt_parquet_run1.log</t>
  </si>
  <si>
    <t>2026-06-26 02:09:30</t>
  </si>
  <si>
    <t>/Users/lpurwito/Documents/personal/etl-elt-performance-benchmark/logs/overnight/etl_csv_run2.log</t>
  </si>
  <si>
    <t>2026-06-26 02:13:36</t>
  </si>
  <si>
    <t>/Users/lpurwito/Documents/personal/etl-elt-performance-benchmark/logs/overnight/elt_load_csv_run2.log</t>
  </si>
  <si>
    <t>2026-06-26 02:15:56</t>
  </si>
  <si>
    <t>/Users/lpurwito/Documents/personal/etl-elt-performance-benchmark/logs/overnight/elt_dbt_csv_run2.log</t>
  </si>
  <si>
    <t>2026-06-26 02:18:06</t>
  </si>
  <si>
    <t>/Users/lpurwito/Documents/personal/etl-elt-performance-benchmark/logs/overnight/hybrid_load_csv_run2.log</t>
  </si>
  <si>
    <t>2026-06-26 02:19:01</t>
  </si>
  <si>
    <t>/Users/lpurwito/Documents/personal/etl-elt-performance-benchmark/logs/overnight/hybrid_dbt_csv_run2.log</t>
  </si>
  <si>
    <t>2026-06-26 02:19:56</t>
  </si>
  <si>
    <t>/Users/lpurwito/Documents/personal/etl-elt-performance-benchmark/logs/overnight/etl_jsonl_run2.log</t>
  </si>
  <si>
    <t>2026-06-26 02:24:53</t>
  </si>
  <si>
    <t>/Users/lpurwito/Documents/personal/etl-elt-performance-benchmark/logs/overnight/elt_load_jsonl_run2.log</t>
  </si>
  <si>
    <t>2026-06-26 02:27:55</t>
  </si>
  <si>
    <t>/Users/lpurwito/Documents/personal/etl-elt-performance-benchmark/logs/overnight/elt_dbt_jsonl_run2.log</t>
  </si>
  <si>
    <t>2026-06-26 02:30:32</t>
  </si>
  <si>
    <t>/Users/lpurwito/Documents/personal/etl-elt-performance-benchmark/logs/overnight/hybrid_load_jsonl_run2.log</t>
  </si>
  <si>
    <t>2026-06-26 02:31:22</t>
  </si>
  <si>
    <t>/Users/lpurwito/Documents/personal/etl-elt-performance-benchmark/logs/overnight/hybrid_dbt_jsonl_run2.log</t>
  </si>
  <si>
    <t>2026-06-26 02:31:35</t>
  </si>
  <si>
    <t>/Users/lpurwito/Documents/personal/etl-elt-performance-benchmark/logs/overnight/etl_parquet_run2.log</t>
  </si>
  <si>
    <t>2026-06-26 02:35:29</t>
  </si>
  <si>
    <t>/Users/lpurwito/Documents/personal/etl-elt-performance-benchmark/logs/overnight/elt_load_parquet_run2.log</t>
  </si>
  <si>
    <t>2026-06-26 02:38:11</t>
  </si>
  <si>
    <t>/Users/lpurwito/Documents/personal/etl-elt-performance-benchmark/logs/overnight/elt_dbt_parquet_run2.log</t>
  </si>
  <si>
    <t>2026-06-26 02:39:46</t>
  </si>
  <si>
    <t>/Users/lpurwito/Documents/personal/etl-elt-performance-benchmark/logs/overnight/hybrid_load_parquet_run2.log</t>
  </si>
  <si>
    <t>2026-06-26 02:40:38</t>
  </si>
  <si>
    <t>/Users/lpurwito/Documents/personal/etl-elt-performance-benchmark/logs/overnight/hybrid_dbt_parquet_run2.log</t>
  </si>
  <si>
    <t>2026-06-26 02:41:11</t>
  </si>
  <si>
    <t>/Users/lpurwito/Documents/personal/etl-elt-performance-benchmark/logs/overnight/etl_csv_run3.log</t>
  </si>
  <si>
    <t>2026-06-26 02:45:36</t>
  </si>
  <si>
    <t>/Users/lpurwito/Documents/personal/etl-elt-performance-benchmark/logs/overnight/elt_load_csv_run3.log</t>
  </si>
  <si>
    <t>2026-06-26 02:48:40</t>
  </si>
  <si>
    <t>/Users/lpurwito/Documents/personal/etl-elt-performance-benchmark/logs/overnight/elt_dbt_csv_run3.log</t>
  </si>
  <si>
    <t>2026-06-26 02:50:42</t>
  </si>
  <si>
    <t>/Users/lpurwito/Documents/personal/etl-elt-performance-benchmark/logs/overnight/hybrid_load_csv_run3.log</t>
  </si>
  <si>
    <t>2026-06-26 02:51:38</t>
  </si>
  <si>
    <t>/Users/lpurwito/Documents/personal/etl-elt-performance-benchmark/logs/overnight/hybrid_dbt_csv_run3.log</t>
  </si>
  <si>
    <t>2026-06-26 02:52:32</t>
  </si>
  <si>
    <t>/Users/lpurwito/Documents/personal/etl-elt-performance-benchmark/logs/overnight/etl_jsonl_run3.log</t>
  </si>
  <si>
    <t>2026-06-26 02:57:20</t>
  </si>
  <si>
    <t>/Users/lpurwito/Documents/personal/etl-elt-performance-benchmark/logs/overnight/elt_load_jsonl_run3.log</t>
  </si>
  <si>
    <t>2026-06-26 02:59:51</t>
  </si>
  <si>
    <t>/Users/lpurwito/Documents/personal/etl-elt-performance-benchmark/logs/overnight/elt_dbt_jsonl_run3.log</t>
  </si>
  <si>
    <t>2026-06-26 03:02:25</t>
  </si>
  <si>
    <t>/Users/lpurwito/Documents/personal/etl-elt-performance-benchmark/logs/overnight/hybrid_load_jsonl_run3.log</t>
  </si>
  <si>
    <t>2026-06-26 03:03:20</t>
  </si>
  <si>
    <t>/Users/lpurwito/Documents/personal/etl-elt-performance-benchmark/logs/overnight/hybrid_dbt_jsonl_run3.log</t>
  </si>
  <si>
    <t>2026-06-26 03:03:34</t>
  </si>
  <si>
    <t>/Users/lpurwito/Documents/personal/etl-elt-performance-benchmark/logs/overnight/etl_parquet_run3.log</t>
  </si>
  <si>
    <t>2026-06-26 03:07:36</t>
  </si>
  <si>
    <t>/Users/lpurwito/Documents/personal/etl-elt-performance-benchmark/logs/overnight/elt_load_parquet_run3.log</t>
  </si>
  <si>
    <t>2026-06-26 03:10:19</t>
  </si>
  <si>
    <t>/Users/lpurwito/Documents/personal/etl-elt-performance-benchmark/logs/overnight/elt_dbt_parquet_run3.log</t>
  </si>
  <si>
    <t>2026-06-26 03:11:49</t>
  </si>
  <si>
    <t>/Users/lpurwito/Documents/personal/etl-elt-performance-benchmark/logs/overnight/hybrid_load_parquet_run3.log</t>
  </si>
  <si>
    <t>2026-06-26 03:12:46</t>
  </si>
  <si>
    <t>/Users/lpurwito/Documents/personal/etl-elt-performance-benchmark/logs/overnight/hybrid_dbt_parquet_run3.log</t>
  </si>
  <si>
    <t>spark_phase</t>
  </si>
  <si>
    <t>spark_time_s</t>
  </si>
  <si>
    <t>dbt_time_s</t>
  </si>
  <si>
    <t>total_time_s</t>
  </si>
  <si>
    <t>formula_notes</t>
  </si>
  <si>
    <t>Formula-driven from Raw Scenario Times</t>
  </si>
  <si>
    <t>run1_total_s</t>
  </si>
  <si>
    <t>run2_total_s</t>
  </si>
  <si>
    <t>run3_total_s</t>
  </si>
  <si>
    <t>count</t>
  </si>
  <si>
    <t>mean_s</t>
  </si>
  <si>
    <t>std_s</t>
  </si>
  <si>
    <t>min_s</t>
  </si>
  <si>
    <t>max_s</t>
  </si>
  <si>
    <t>audit_formula_source</t>
  </si>
  <si>
    <t>Run total formulas reference Run Totals, which references Raw Scenario Times.</t>
  </si>
  <si>
    <t>run1_s</t>
  </si>
  <si>
    <t>run2_s</t>
  </si>
  <si>
    <t>run3_s</t>
  </si>
  <si>
    <t>formula_source</t>
  </si>
  <si>
    <t>SUMIFS against Raw Scenario Times by architecture, format, phase, and run.</t>
  </si>
  <si>
    <t>Formula-based improvement analysis</t>
  </si>
  <si>
    <t>ELT_mean_s</t>
  </si>
  <si>
    <t>Hybrid_mean_s</t>
  </si>
  <si>
    <t>Hybrid faster than ELT</t>
  </si>
  <si>
    <t>CSV_mean_s</t>
  </si>
  <si>
    <t>Parquet_mean_s</t>
  </si>
  <si>
    <t>Parquet faster than CSV</t>
  </si>
  <si>
    <t>JSONL overhead vs CSV</t>
  </si>
  <si>
    <t>TPC-H SF5 Experiment Dashboard (Formula-Driven)</t>
  </si>
  <si>
    <t>Fastest mean scenario</t>
  </si>
  <si>
    <t>Fastest mean time (s)</t>
  </si>
  <si>
    <t>Slowest mean scenario</t>
  </si>
  <si>
    <t>Slowest mean time (s)</t>
  </si>
  <si>
    <t>Architecture</t>
  </si>
  <si>
    <t>CSV mean_s</t>
  </si>
  <si>
    <t>JSONL mean_s</t>
  </si>
  <si>
    <t>Parquet mean_s</t>
  </si>
  <si>
    <t>Format</t>
  </si>
  <si>
    <t>ELT mean_s</t>
  </si>
  <si>
    <t>Hybrid mean_s</t>
  </si>
  <si>
    <t>input_bytes</t>
  </si>
  <si>
    <t>input_records</t>
  </si>
  <si>
    <t>shuffle_read_bytes</t>
  </si>
  <si>
    <t>shuffle_write_bytes</t>
  </si>
  <si>
    <t>memory_bytes_spilled</t>
  </si>
  <si>
    <t>disk_bytes_spilled</t>
  </si>
  <si>
    <t>executor_runtime_ms</t>
  </si>
  <si>
    <t>executor_cpu_ns</t>
  </si>
  <si>
    <t>jvm_gc_time_ms</t>
  </si>
  <si>
    <t>peak_execution_memory</t>
  </si>
  <si>
    <t>output_records</t>
  </si>
  <si>
    <t>input_mb</t>
  </si>
  <si>
    <t>shuffle_read_mb</t>
  </si>
  <si>
    <t>shuffle_write_mb</t>
  </si>
  <si>
    <t>memory_bytes_spilled_mb</t>
  </si>
  <si>
    <t>disk_bytes_spilled_mb</t>
  </si>
  <si>
    <t>peak_execution_memory_mb</t>
  </si>
  <si>
    <t>runs</t>
  </si>
  <si>
    <t>avg_mart_time</t>
  </si>
  <si>
    <t>std_mart_time</t>
  </si>
  <si>
    <t>min_mart_time</t>
  </si>
  <si>
    <t>max_mart_time</t>
  </si>
  <si>
    <t>rows_min</t>
  </si>
  <si>
    <t>rows_max</t>
  </si>
  <si>
    <t>avg_cpu_pct</t>
  </si>
  <si>
    <t>max_cpu_pct</t>
  </si>
  <si>
    <t>avg_rss_mb</t>
  </si>
  <si>
    <t>peak_rss_mb</t>
  </si>
  <si>
    <t>sample_count</t>
  </si>
  <si>
    <t>Output sheet</t>
  </si>
  <si>
    <t>Cells</t>
  </si>
  <si>
    <t>Formula logic</t>
  </si>
  <si>
    <t>Run Totals</t>
  </si>
  <si>
    <t>F:G:H</t>
  </si>
  <si>
    <t>SUMIFS from Raw Scenario Times by scale, architecture, format, run, and phase.</t>
  </si>
  <si>
    <t>Runtime Summary</t>
  </si>
  <si>
    <t>C:E</t>
  </si>
  <si>
    <t>SUMIFS from Run Totals for run1, run2, run3.</t>
  </si>
  <si>
    <t>G:J</t>
  </si>
  <si>
    <t>AVERAGE, STDEV.S, MIN, MAX across run1-run3 columns.</t>
  </si>
  <si>
    <t>Phase Summary</t>
  </si>
  <si>
    <t>D:F</t>
  </si>
  <si>
    <t>SUMIFS from Raw Scenario Times by architecture, format, phase, and run.</t>
  </si>
  <si>
    <t>Improvement Summary</t>
  </si>
  <si>
    <t>D4:D6</t>
  </si>
  <si>
    <t>1 - Hybrid mean / ELT mean for each format.</t>
  </si>
  <si>
    <t>D10:D12</t>
  </si>
  <si>
    <t>1 - Parquet mean / CSV mean for each architecture.</t>
  </si>
  <si>
    <t>Dashboard</t>
  </si>
  <si>
    <t>B3:B6</t>
  </si>
  <si>
    <t>INDEX/MATCH from Runtime Summary to show fastest/slowest 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</si>
</sst>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0" fontId="0" fillId="5" borderId="0" xfId="0" applyNumberFormat="1" applyFont="1" applyFill="1" applyBorder="1"/>
    <xf numFmtId="0" fontId="0" fillId="6" borderId="0" xfId="0" applyNumberFormat="1" applyFont="1" applyFill="1" applyBorder="1"/>
    <xf numFmtId="164" fontId="0" fillId="6" borderId="0" xfId="0" applyNumberFormat="1" applyFont="1" applyFill="1" applyBorder="1"/>
    <xf numFmtId="1" fontId="0" fillId="6" borderId="0" xfId="0" applyNumberFormat="1" applyFont="1" applyFill="1" applyBorder="1"/>
    <xf numFmtId="165" fontId="0" fillId="6" borderId="0" xfId="0" applyNumberFormat="1" applyFont="1" applyFill="1" applyBorder="1"/>
    <xf numFmtId="0" fontId="1" fillId="2" borderId="0" xfId="0" applyNumberFormat="1" applyFont="1" applyFill="1" applyBorder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CSV mean_s</c:v>
          </c:tx>
          <c:invertIfNegative val="1"/>
          <c:cat>
            <c:strRef>
              <c:f>Dashboard!$A$9:$A$11</c:f>
              <c:strCache>
                <c:ptCount val="3"/>
                <c:pt idx="0">
                  <c:v>ETL</c:v>
                </c:pt>
                <c:pt idx="1">
                  <c:v>ELT</c:v>
                </c:pt>
                <c:pt idx="2">
                  <c:v>Hybrid</c:v>
                </c:pt>
              </c:strCache>
            </c:strRef>
          </c:cat>
          <c:val>
            <c:numRef>
              <c:f>Dashboard!$B$9:$B$11</c:f>
              <c:numCache>
                <c:formatCode>0.000</c:formatCode>
                <c:ptCount val="3"/>
                <c:pt idx="0">
                  <c:v>32.494666666666667</c:v>
                </c:pt>
                <c:pt idx="1">
                  <c:v>408.25566666666668</c:v>
                </c:pt>
                <c:pt idx="2">
                  <c:v>193.18499999999997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0-4463-B06D-1933273DBE53}"/>
            </c:ext>
          </c:extLst>
        </c:ser>
        <c:ser>
          <c:idx val="1"/>
          <c:order val="1"/>
          <c:tx>
            <c:v>JSONL mean_s</c:v>
          </c:tx>
          <c:invertIfNegative val="1"/>
          <c:cat>
            <c:strRef>
              <c:f>Dashboard!$A$9:$A$11</c:f>
              <c:strCache>
                <c:ptCount val="3"/>
                <c:pt idx="0">
                  <c:v>ETL</c:v>
                </c:pt>
                <c:pt idx="1">
                  <c:v>ELT</c:v>
                </c:pt>
                <c:pt idx="2">
                  <c:v>Hybrid</c:v>
                </c:pt>
              </c:strCache>
            </c:strRef>
          </c:cat>
          <c:val>
            <c:numRef>
              <c:f>Dashboard!$C$9:$C$11</c:f>
              <c:numCache>
                <c:formatCode>0.000</c:formatCode>
                <c:ptCount val="3"/>
                <c:pt idx="0">
                  <c:v>57.011666666666663</c:v>
                </c:pt>
                <c:pt idx="1">
                  <c:v>451.87966666666671</c:v>
                </c:pt>
                <c:pt idx="2">
                  <c:v>207.10400000000001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0-4463-B06D-1933273DBE53}"/>
            </c:ext>
          </c:extLst>
        </c:ser>
        <c:ser>
          <c:idx val="2"/>
          <c:order val="2"/>
          <c:tx>
            <c:v>Parquet mean_s</c:v>
          </c:tx>
          <c:invertIfNegative val="1"/>
          <c:cat>
            <c:strRef>
              <c:f>Dashboard!$A$9:$A$11</c:f>
              <c:strCache>
                <c:ptCount val="3"/>
                <c:pt idx="0">
                  <c:v>ETL</c:v>
                </c:pt>
                <c:pt idx="1">
                  <c:v>ELT</c:v>
                </c:pt>
                <c:pt idx="2">
                  <c:v>Hybrid</c:v>
                </c:pt>
              </c:strCache>
            </c:strRef>
          </c:cat>
          <c:val>
            <c:numRef>
              <c:f>Dashboard!$D$9:$D$11</c:f>
              <c:numCache>
                <c:formatCode>0.000</c:formatCode>
                <c:ptCount val="3"/>
                <c:pt idx="0">
                  <c:v>12.812666666666667</c:v>
                </c:pt>
                <c:pt idx="1">
                  <c:v>382.33366666666672</c:v>
                </c:pt>
                <c:pt idx="2">
                  <c:v>149.60266666666666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40-4463-B06D-1933273DB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cenarioTimes" displayName="RawScenarioTimes" ref="A1:I47">
  <tableColumns count="9">
    <tableColumn id="1" xr3:uid="{00000000-0010-0000-0000-000001000000}" name="timestamp"/>
    <tableColumn id="2" xr3:uid="{00000000-0010-0000-0000-000002000000}" name="scale_factor"/>
    <tableColumn id="3" xr3:uid="{00000000-0010-0000-0000-000003000000}" name="architecture"/>
    <tableColumn id="4" xr3:uid="{00000000-0010-0000-0000-000004000000}" name="format"/>
    <tableColumn id="5" xr3:uid="{00000000-0010-0000-0000-000005000000}" name="run"/>
    <tableColumn id="6" xr3:uid="{00000000-0010-0000-0000-000006000000}" name="phase"/>
    <tableColumn id="7" xr3:uid="{00000000-0010-0000-0000-000007000000}" name="elapsed_seconds"/>
    <tableColumn id="8" xr3:uid="{00000000-0010-0000-0000-000008000000}" name="status"/>
    <tableColumn id="9" xr3:uid="{00000000-0010-0000-0000-000009000000}" name="log_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nTotals" displayName="RunTotals" ref="A1:I28">
  <tableColumns count="9">
    <tableColumn id="1" xr3:uid="{00000000-0010-0000-0100-000001000000}" name="scale_factor"/>
    <tableColumn id="2" xr3:uid="{00000000-0010-0000-0100-000002000000}" name="architecture"/>
    <tableColumn id="3" xr3:uid="{00000000-0010-0000-0100-000003000000}" name="format"/>
    <tableColumn id="4" xr3:uid="{00000000-0010-0000-0100-000004000000}" name="run"/>
    <tableColumn id="5" xr3:uid="{00000000-0010-0000-0100-000005000000}" name="spark_phase"/>
    <tableColumn id="6" xr3:uid="{00000000-0010-0000-0100-000006000000}" name="spark_time_s"/>
    <tableColumn id="7" xr3:uid="{00000000-0010-0000-0100-000007000000}" name="dbt_time_s"/>
    <tableColumn id="8" xr3:uid="{00000000-0010-0000-0100-000008000000}" name="total_time_s"/>
    <tableColumn id="9" xr3:uid="{00000000-0010-0000-0100-000009000000}" name="formula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ntimeSummary" displayName="RuntimeSummary" ref="A1:K10">
  <tableColumns count="11">
    <tableColumn id="1" xr3:uid="{00000000-0010-0000-0200-000001000000}" name="architecture"/>
    <tableColumn id="2" xr3:uid="{00000000-0010-0000-0200-000002000000}" name="format"/>
    <tableColumn id="3" xr3:uid="{00000000-0010-0000-0200-000003000000}" name="run1_total_s"/>
    <tableColumn id="4" xr3:uid="{00000000-0010-0000-0200-000004000000}" name="run2_total_s"/>
    <tableColumn id="5" xr3:uid="{00000000-0010-0000-0200-000005000000}" name="run3_total_s"/>
    <tableColumn id="6" xr3:uid="{00000000-0010-0000-0200-000006000000}" name="count"/>
    <tableColumn id="7" xr3:uid="{00000000-0010-0000-0200-000007000000}" name="mean_s"/>
    <tableColumn id="8" xr3:uid="{00000000-0010-0000-0200-000008000000}" name="std_s"/>
    <tableColumn id="9" xr3:uid="{00000000-0010-0000-0200-000009000000}" name="min_s"/>
    <tableColumn id="10" xr3:uid="{00000000-0010-0000-0200-00000A000000}" name="max_s"/>
    <tableColumn id="11" xr3:uid="{00000000-0010-0000-0200-00000B000000}" name="audit_formula_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aseSummary" displayName="PhaseSummary" ref="A1:L16">
  <tableColumns count="12">
    <tableColumn id="1" xr3:uid="{00000000-0010-0000-0300-000001000000}" name="architecture"/>
    <tableColumn id="2" xr3:uid="{00000000-0010-0000-0300-000002000000}" name="format"/>
    <tableColumn id="3" xr3:uid="{00000000-0010-0000-0300-000003000000}" name="phase"/>
    <tableColumn id="4" xr3:uid="{00000000-0010-0000-0300-000004000000}" name="run1_s"/>
    <tableColumn id="5" xr3:uid="{00000000-0010-0000-0300-000005000000}" name="run2_s"/>
    <tableColumn id="6" xr3:uid="{00000000-0010-0000-0300-000006000000}" name="run3_s"/>
    <tableColumn id="7" xr3:uid="{00000000-0010-0000-0300-000007000000}" name="count"/>
    <tableColumn id="8" xr3:uid="{00000000-0010-0000-0300-000008000000}" name="mean_s"/>
    <tableColumn id="9" xr3:uid="{00000000-0010-0000-0300-000009000000}" name="std_s"/>
    <tableColumn id="10" xr3:uid="{00000000-0010-0000-0300-00000A000000}" name="min_s"/>
    <tableColumn id="11" xr3:uid="{00000000-0010-0000-0300-00000B000000}" name="max_s"/>
    <tableColumn id="12" xr3:uid="{00000000-0010-0000-0300-00000C000000}" name="formula_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parkMetricsSummaryTbl" displayName="SparkMetricsSummaryTbl" ref="A1:S10">
  <tableColumns count="19">
    <tableColumn id="1" xr3:uid="{00000000-0010-0000-0400-000001000000}" name="architecture"/>
    <tableColumn id="2" xr3:uid="{00000000-0010-0000-0400-000002000000}" name="format"/>
    <tableColumn id="3" xr3:uid="{00000000-0010-0000-0400-000003000000}" name="input_bytes"/>
    <tableColumn id="4" xr3:uid="{00000000-0010-0000-0400-000004000000}" name="input_records"/>
    <tableColumn id="5" xr3:uid="{00000000-0010-0000-0400-000005000000}" name="shuffle_read_bytes"/>
    <tableColumn id="6" xr3:uid="{00000000-0010-0000-0400-000006000000}" name="shuffle_write_bytes"/>
    <tableColumn id="7" xr3:uid="{00000000-0010-0000-0400-000007000000}" name="memory_bytes_spilled"/>
    <tableColumn id="8" xr3:uid="{00000000-0010-0000-0400-000008000000}" name="disk_bytes_spilled"/>
    <tableColumn id="9" xr3:uid="{00000000-0010-0000-0400-000009000000}" name="executor_runtime_ms"/>
    <tableColumn id="10" xr3:uid="{00000000-0010-0000-0400-00000A000000}" name="executor_cpu_ns"/>
    <tableColumn id="11" xr3:uid="{00000000-0010-0000-0400-00000B000000}" name="jvm_gc_time_ms"/>
    <tableColumn id="12" xr3:uid="{00000000-0010-0000-0400-00000C000000}" name="peak_execution_memory"/>
    <tableColumn id="13" xr3:uid="{00000000-0010-0000-0400-00000D000000}" name="output_records"/>
    <tableColumn id="14" xr3:uid="{00000000-0010-0000-0400-00000E000000}" name="input_mb"/>
    <tableColumn id="15" xr3:uid="{00000000-0010-0000-0400-00000F000000}" name="shuffle_read_mb"/>
    <tableColumn id="16" xr3:uid="{00000000-0010-0000-0400-000010000000}" name="shuffle_write_mb"/>
    <tableColumn id="17" xr3:uid="{00000000-0010-0000-0400-000011000000}" name="memory_bytes_spilled_mb"/>
    <tableColumn id="18" xr3:uid="{00000000-0010-0000-0400-000012000000}" name="disk_bytes_spilled_mb"/>
    <tableColumn id="19" xr3:uid="{00000000-0010-0000-0400-000013000000}" name="peak_execution_memory_mb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BTMartSummaryTbl" displayName="DBTMartSummaryTbl" ref="A1:I7">
  <tableColumns count="9">
    <tableColumn id="1" xr3:uid="{00000000-0010-0000-0500-000001000000}" name="architecture"/>
    <tableColumn id="2" xr3:uid="{00000000-0010-0000-0500-000002000000}" name="format"/>
    <tableColumn id="3" xr3:uid="{00000000-0010-0000-0500-000003000000}" name="runs"/>
    <tableColumn id="4" xr3:uid="{00000000-0010-0000-0500-000004000000}" name="avg_mart_time"/>
    <tableColumn id="5" xr3:uid="{00000000-0010-0000-0500-000005000000}" name="std_mart_time"/>
    <tableColumn id="6" xr3:uid="{00000000-0010-0000-0500-000006000000}" name="min_mart_time"/>
    <tableColumn id="7" xr3:uid="{00000000-0010-0000-0500-000007000000}" name="max_mart_time"/>
    <tableColumn id="8" xr3:uid="{00000000-0010-0000-0500-000008000000}" name="rows_min"/>
    <tableColumn id="9" xr3:uid="{00000000-0010-0000-0500-000009000000}" name="rows_max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sourceSummaryTbl" displayName="ResourceSummaryTbl" ref="A1:H17">
  <tableColumns count="8">
    <tableColumn id="1" xr3:uid="{00000000-0010-0000-0600-000001000000}" name="architecture"/>
    <tableColumn id="2" xr3:uid="{00000000-0010-0000-0600-000002000000}" name="format"/>
    <tableColumn id="3" xr3:uid="{00000000-0010-0000-0600-000003000000}" name="phase"/>
    <tableColumn id="4" xr3:uid="{00000000-0010-0000-0600-000004000000}" name="avg_cpu_pct"/>
    <tableColumn id="5" xr3:uid="{00000000-0010-0000-0600-000005000000}" name="max_cpu_pct"/>
    <tableColumn id="6" xr3:uid="{00000000-0010-0000-0600-000006000000}" name="avg_rss_mb"/>
    <tableColumn id="7" xr3:uid="{00000000-0010-0000-0600-000007000000}" name="peak_rss_mb"/>
    <tableColumn id="8" xr3:uid="{00000000-0010-0000-0600-000008000000}" name="sample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A3" sqref="A3"/>
    </sheetView>
  </sheetViews>
  <sheetFormatPr defaultRowHeight="13.8"/>
  <cols>
    <col min="1" max="1" width="24" customWidth="1"/>
    <col min="2" max="2" width="110" customWidth="1"/>
  </cols>
  <sheetData>
    <row r="1" spans="1:8" ht="17.399999999999999">
      <c r="A1" s="11" t="s">
        <v>0</v>
      </c>
      <c r="B1" s="12"/>
      <c r="C1" s="12"/>
      <c r="D1" s="12"/>
      <c r="E1" s="12"/>
      <c r="F1" s="12"/>
      <c r="G1" s="12"/>
      <c r="H1" s="12"/>
    </row>
    <row r="3" spans="1:8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>
      <c r="A5" s="1" t="s">
        <v>5</v>
      </c>
      <c r="B5" s="2" t="s">
        <v>6</v>
      </c>
    </row>
    <row r="6" spans="1:8">
      <c r="A6" s="1" t="s">
        <v>7</v>
      </c>
      <c r="B6" s="2" t="s">
        <v>8</v>
      </c>
    </row>
    <row r="7" spans="1:8">
      <c r="A7" s="1" t="s">
        <v>9</v>
      </c>
      <c r="B7" s="2" t="s">
        <v>10</v>
      </c>
    </row>
    <row r="8" spans="1:8">
      <c r="A8" s="1" t="s">
        <v>11</v>
      </c>
      <c r="B8" s="2" t="s">
        <v>12</v>
      </c>
    </row>
    <row r="9" spans="1:8">
      <c r="A9" s="1" t="s">
        <v>13</v>
      </c>
      <c r="B9" s="2" t="s">
        <v>14</v>
      </c>
    </row>
    <row r="10" spans="1:8">
      <c r="A10" s="1" t="s">
        <v>15</v>
      </c>
      <c r="B10" s="2" t="s">
        <v>16</v>
      </c>
    </row>
    <row r="11" spans="1:8">
      <c r="A11" s="1" t="s">
        <v>17</v>
      </c>
      <c r="B11" s="2" t="s">
        <v>18</v>
      </c>
    </row>
    <row r="12" spans="1:8">
      <c r="A12" s="1" t="s">
        <v>19</v>
      </c>
      <c r="B12" s="2" t="s">
        <v>20</v>
      </c>
    </row>
    <row r="13" spans="1:8">
      <c r="A13" s="1" t="s">
        <v>21</v>
      </c>
      <c r="B13" s="2" t="s">
        <v>22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"/>
  <sheetViews>
    <sheetView workbookViewId="0">
      <selection activeCell="B2" sqref="B2"/>
    </sheetView>
  </sheetViews>
  <sheetFormatPr defaultRowHeight="13.8"/>
  <cols>
    <col min="1" max="1" width="20" customWidth="1"/>
    <col min="2" max="6" width="17" customWidth="1"/>
    <col min="7" max="7" width="16" customWidth="1"/>
    <col min="9" max="9" width="92.69921875" bestFit="1" customWidth="1"/>
  </cols>
  <sheetData>
    <row r="1" spans="1:9" ht="27.6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spans="1:9">
      <c r="A2" t="s">
        <v>32</v>
      </c>
      <c r="B2" t="s">
        <v>22</v>
      </c>
      <c r="C2" t="s">
        <v>33</v>
      </c>
      <c r="D2" t="s">
        <v>34</v>
      </c>
      <c r="E2" s="5">
        <v>0</v>
      </c>
      <c r="F2" t="s">
        <v>35</v>
      </c>
      <c r="G2" s="4">
        <v>3.218</v>
      </c>
      <c r="H2" s="5">
        <v>0</v>
      </c>
      <c r="I2" t="s">
        <v>36</v>
      </c>
    </row>
    <row r="3" spans="1:9">
      <c r="A3" t="s">
        <v>37</v>
      </c>
      <c r="B3" t="s">
        <v>22</v>
      </c>
      <c r="C3" t="s">
        <v>38</v>
      </c>
      <c r="D3" t="s">
        <v>39</v>
      </c>
      <c r="E3" s="5">
        <v>1</v>
      </c>
      <c r="F3" t="s">
        <v>40</v>
      </c>
      <c r="G3" s="4">
        <v>30.41</v>
      </c>
      <c r="H3" s="5">
        <v>0</v>
      </c>
      <c r="I3" t="s">
        <v>41</v>
      </c>
    </row>
    <row r="4" spans="1:9">
      <c r="A4" t="s">
        <v>42</v>
      </c>
      <c r="B4" t="s">
        <v>22</v>
      </c>
      <c r="C4" t="s">
        <v>43</v>
      </c>
      <c r="D4" t="s">
        <v>39</v>
      </c>
      <c r="E4" s="5">
        <v>1</v>
      </c>
      <c r="F4" t="s">
        <v>44</v>
      </c>
      <c r="G4" s="4">
        <v>275.82400000000001</v>
      </c>
      <c r="H4" s="5">
        <v>0</v>
      </c>
      <c r="I4" t="s">
        <v>45</v>
      </c>
    </row>
    <row r="5" spans="1:9">
      <c r="A5" t="s">
        <v>46</v>
      </c>
      <c r="B5" t="s">
        <v>22</v>
      </c>
      <c r="C5" t="s">
        <v>43</v>
      </c>
      <c r="D5" t="s">
        <v>39</v>
      </c>
      <c r="E5" s="5">
        <v>1</v>
      </c>
      <c r="F5" t="s">
        <v>47</v>
      </c>
      <c r="G5" s="4">
        <v>122.479</v>
      </c>
      <c r="H5" s="5">
        <v>0</v>
      </c>
      <c r="I5" t="s">
        <v>48</v>
      </c>
    </row>
    <row r="6" spans="1:9">
      <c r="A6" t="s">
        <v>49</v>
      </c>
      <c r="B6" t="s">
        <v>22</v>
      </c>
      <c r="C6" t="s">
        <v>50</v>
      </c>
      <c r="D6" t="s">
        <v>39</v>
      </c>
      <c r="E6" s="5">
        <v>1</v>
      </c>
      <c r="F6" t="s">
        <v>51</v>
      </c>
      <c r="G6" s="4">
        <v>157.35300000000001</v>
      </c>
      <c r="H6" s="5">
        <v>0</v>
      </c>
      <c r="I6" t="s">
        <v>52</v>
      </c>
    </row>
    <row r="7" spans="1:9">
      <c r="A7" t="s">
        <v>53</v>
      </c>
      <c r="B7" t="s">
        <v>22</v>
      </c>
      <c r="C7" t="s">
        <v>50</v>
      </c>
      <c r="D7" t="s">
        <v>39</v>
      </c>
      <c r="E7" s="5">
        <v>1</v>
      </c>
      <c r="F7" t="s">
        <v>47</v>
      </c>
      <c r="G7" s="4">
        <v>61.018999999999998</v>
      </c>
      <c r="H7" s="5">
        <v>0</v>
      </c>
      <c r="I7" t="s">
        <v>54</v>
      </c>
    </row>
    <row r="8" spans="1:9">
      <c r="A8" t="s">
        <v>55</v>
      </c>
      <c r="B8" t="s">
        <v>22</v>
      </c>
      <c r="C8" t="s">
        <v>38</v>
      </c>
      <c r="D8" t="s">
        <v>56</v>
      </c>
      <c r="E8" s="5">
        <v>1</v>
      </c>
      <c r="F8" t="s">
        <v>40</v>
      </c>
      <c r="G8" s="4">
        <v>62.078000000000003</v>
      </c>
      <c r="H8" s="5">
        <v>0</v>
      </c>
      <c r="I8" t="s">
        <v>57</v>
      </c>
    </row>
    <row r="9" spans="1:9">
      <c r="A9" t="s">
        <v>58</v>
      </c>
      <c r="B9" t="s">
        <v>22</v>
      </c>
      <c r="C9" t="s">
        <v>43</v>
      </c>
      <c r="D9" t="s">
        <v>56</v>
      </c>
      <c r="E9" s="5">
        <v>1</v>
      </c>
      <c r="F9" t="s">
        <v>44</v>
      </c>
      <c r="G9" s="4">
        <v>314.45699999999999</v>
      </c>
      <c r="H9" s="5">
        <v>0</v>
      </c>
      <c r="I9" t="s">
        <v>59</v>
      </c>
    </row>
    <row r="10" spans="1:9">
      <c r="A10" t="s">
        <v>60</v>
      </c>
      <c r="B10" t="s">
        <v>22</v>
      </c>
      <c r="C10" t="s">
        <v>43</v>
      </c>
      <c r="D10" t="s">
        <v>56</v>
      </c>
      <c r="E10" s="5">
        <v>1</v>
      </c>
      <c r="F10" t="s">
        <v>47</v>
      </c>
      <c r="G10" s="4">
        <v>132.715</v>
      </c>
      <c r="H10" s="5">
        <v>0</v>
      </c>
      <c r="I10" t="s">
        <v>61</v>
      </c>
    </row>
    <row r="11" spans="1:9">
      <c r="A11" t="s">
        <v>62</v>
      </c>
      <c r="B11" t="s">
        <v>22</v>
      </c>
      <c r="C11" t="s">
        <v>50</v>
      </c>
      <c r="D11" t="s">
        <v>56</v>
      </c>
      <c r="E11" s="5">
        <v>1</v>
      </c>
      <c r="F11" t="s">
        <v>51</v>
      </c>
      <c r="G11" s="4">
        <v>157.614</v>
      </c>
      <c r="H11" s="5">
        <v>0</v>
      </c>
      <c r="I11" t="s">
        <v>63</v>
      </c>
    </row>
    <row r="12" spans="1:9">
      <c r="A12" t="s">
        <v>64</v>
      </c>
      <c r="B12" t="s">
        <v>22</v>
      </c>
      <c r="C12" t="s">
        <v>50</v>
      </c>
      <c r="D12" t="s">
        <v>56</v>
      </c>
      <c r="E12" s="5">
        <v>1</v>
      </c>
      <c r="F12" t="s">
        <v>47</v>
      </c>
      <c r="G12" s="4">
        <v>51.423999999999999</v>
      </c>
      <c r="H12" s="5">
        <v>0</v>
      </c>
      <c r="I12" t="s">
        <v>65</v>
      </c>
    </row>
    <row r="13" spans="1:9">
      <c r="A13" t="s">
        <v>66</v>
      </c>
      <c r="B13" t="s">
        <v>22</v>
      </c>
      <c r="C13" t="s">
        <v>38</v>
      </c>
      <c r="D13" t="s">
        <v>67</v>
      </c>
      <c r="E13" s="5">
        <v>1</v>
      </c>
      <c r="F13" t="s">
        <v>40</v>
      </c>
      <c r="G13" s="4">
        <v>11.795999999999999</v>
      </c>
      <c r="H13" s="5">
        <v>0</v>
      </c>
      <c r="I13" t="s">
        <v>68</v>
      </c>
    </row>
    <row r="14" spans="1:9">
      <c r="A14" t="s">
        <v>69</v>
      </c>
      <c r="B14" t="s">
        <v>22</v>
      </c>
      <c r="C14" t="s">
        <v>43</v>
      </c>
      <c r="D14" t="s">
        <v>67</v>
      </c>
      <c r="E14" s="5">
        <v>1</v>
      </c>
      <c r="F14" t="s">
        <v>44</v>
      </c>
      <c r="G14" s="4">
        <v>222.71100000000001</v>
      </c>
      <c r="H14" s="5">
        <v>0</v>
      </c>
      <c r="I14" t="s">
        <v>70</v>
      </c>
    </row>
    <row r="15" spans="1:9">
      <c r="A15" t="s">
        <v>71</v>
      </c>
      <c r="B15" t="s">
        <v>22</v>
      </c>
      <c r="C15" t="s">
        <v>43</v>
      </c>
      <c r="D15" t="s">
        <v>67</v>
      </c>
      <c r="E15" s="5">
        <v>1</v>
      </c>
      <c r="F15" t="s">
        <v>47</v>
      </c>
      <c r="G15" s="4">
        <v>130.869</v>
      </c>
      <c r="H15" s="5">
        <v>0</v>
      </c>
      <c r="I15" t="s">
        <v>72</v>
      </c>
    </row>
    <row r="16" spans="1:9">
      <c r="A16" t="s">
        <v>73</v>
      </c>
      <c r="B16" t="s">
        <v>22</v>
      </c>
      <c r="C16" t="s">
        <v>50</v>
      </c>
      <c r="D16" t="s">
        <v>67</v>
      </c>
      <c r="E16" s="5">
        <v>1</v>
      </c>
      <c r="F16" t="s">
        <v>51</v>
      </c>
      <c r="G16" s="4">
        <v>108.456</v>
      </c>
      <c r="H16" s="5">
        <v>0</v>
      </c>
      <c r="I16" t="s">
        <v>74</v>
      </c>
    </row>
    <row r="17" spans="1:9">
      <c r="A17" t="s">
        <v>75</v>
      </c>
      <c r="B17" t="s">
        <v>22</v>
      </c>
      <c r="C17" t="s">
        <v>50</v>
      </c>
      <c r="D17" t="s">
        <v>67</v>
      </c>
      <c r="E17" s="5">
        <v>1</v>
      </c>
      <c r="F17" t="s">
        <v>47</v>
      </c>
      <c r="G17" s="4">
        <v>48.881</v>
      </c>
      <c r="H17" s="5">
        <v>0</v>
      </c>
      <c r="I17" t="s">
        <v>76</v>
      </c>
    </row>
    <row r="18" spans="1:9">
      <c r="A18" t="s">
        <v>77</v>
      </c>
      <c r="B18" t="s">
        <v>22</v>
      </c>
      <c r="C18" t="s">
        <v>38</v>
      </c>
      <c r="D18" t="s">
        <v>39</v>
      </c>
      <c r="E18" s="5">
        <v>2</v>
      </c>
      <c r="F18" t="s">
        <v>40</v>
      </c>
      <c r="G18" s="4">
        <v>34.152999999999999</v>
      </c>
      <c r="H18" s="5">
        <v>0</v>
      </c>
      <c r="I18" t="s">
        <v>78</v>
      </c>
    </row>
    <row r="19" spans="1:9">
      <c r="A19" t="s">
        <v>79</v>
      </c>
      <c r="B19" t="s">
        <v>22</v>
      </c>
      <c r="C19" t="s">
        <v>43</v>
      </c>
      <c r="D19" t="s">
        <v>39</v>
      </c>
      <c r="E19" s="5">
        <v>2</v>
      </c>
      <c r="F19" t="s">
        <v>44</v>
      </c>
      <c r="G19" s="4">
        <v>243.31800000000001</v>
      </c>
      <c r="H19" s="5">
        <v>0</v>
      </c>
      <c r="I19" t="s">
        <v>80</v>
      </c>
    </row>
    <row r="20" spans="1:9">
      <c r="A20" t="s">
        <v>81</v>
      </c>
      <c r="B20" t="s">
        <v>22</v>
      </c>
      <c r="C20" t="s">
        <v>43</v>
      </c>
      <c r="D20" t="s">
        <v>39</v>
      </c>
      <c r="E20" s="5">
        <v>2</v>
      </c>
      <c r="F20" t="s">
        <v>47</v>
      </c>
      <c r="G20" s="4">
        <v>139.60900000000001</v>
      </c>
      <c r="H20" s="5">
        <v>0</v>
      </c>
      <c r="I20" t="s">
        <v>82</v>
      </c>
    </row>
    <row r="21" spans="1:9">
      <c r="A21" t="s">
        <v>83</v>
      </c>
      <c r="B21" t="s">
        <v>22</v>
      </c>
      <c r="C21" t="s">
        <v>50</v>
      </c>
      <c r="D21" t="s">
        <v>39</v>
      </c>
      <c r="E21" s="5">
        <v>2</v>
      </c>
      <c r="F21" t="s">
        <v>51</v>
      </c>
      <c r="G21" s="4">
        <v>128.727</v>
      </c>
      <c r="H21" s="5">
        <v>0</v>
      </c>
      <c r="I21" t="s">
        <v>84</v>
      </c>
    </row>
    <row r="22" spans="1:9">
      <c r="A22" t="s">
        <v>85</v>
      </c>
      <c r="B22" t="s">
        <v>22</v>
      </c>
      <c r="C22" t="s">
        <v>50</v>
      </c>
      <c r="D22" t="s">
        <v>39</v>
      </c>
      <c r="E22" s="5">
        <v>2</v>
      </c>
      <c r="F22" t="s">
        <v>47</v>
      </c>
      <c r="G22" s="4">
        <v>55.598999999999997</v>
      </c>
      <c r="H22" s="5">
        <v>0</v>
      </c>
      <c r="I22" t="s">
        <v>86</v>
      </c>
    </row>
    <row r="23" spans="1:9">
      <c r="A23" t="s">
        <v>87</v>
      </c>
      <c r="B23" t="s">
        <v>22</v>
      </c>
      <c r="C23" t="s">
        <v>38</v>
      </c>
      <c r="D23" t="s">
        <v>56</v>
      </c>
      <c r="E23" s="5">
        <v>2</v>
      </c>
      <c r="F23" t="s">
        <v>40</v>
      </c>
      <c r="G23" s="4">
        <v>54.920999999999999</v>
      </c>
      <c r="H23" s="5">
        <v>0</v>
      </c>
      <c r="I23" t="s">
        <v>88</v>
      </c>
    </row>
    <row r="24" spans="1:9">
      <c r="A24" t="s">
        <v>89</v>
      </c>
      <c r="B24" t="s">
        <v>22</v>
      </c>
      <c r="C24" t="s">
        <v>43</v>
      </c>
      <c r="D24" t="s">
        <v>56</v>
      </c>
      <c r="E24" s="5">
        <v>2</v>
      </c>
      <c r="F24" t="s">
        <v>44</v>
      </c>
      <c r="G24" s="4">
        <v>292.36200000000002</v>
      </c>
      <c r="H24" s="5">
        <v>0</v>
      </c>
      <c r="I24" t="s">
        <v>90</v>
      </c>
    </row>
    <row r="25" spans="1:9">
      <c r="A25" t="s">
        <v>91</v>
      </c>
      <c r="B25" t="s">
        <v>22</v>
      </c>
      <c r="C25" t="s">
        <v>43</v>
      </c>
      <c r="D25" t="s">
        <v>56</v>
      </c>
      <c r="E25" s="5">
        <v>2</v>
      </c>
      <c r="F25" t="s">
        <v>47</v>
      </c>
      <c r="G25" s="4">
        <v>181.328</v>
      </c>
      <c r="H25" s="5">
        <v>0</v>
      </c>
      <c r="I25" t="s">
        <v>92</v>
      </c>
    </row>
    <row r="26" spans="1:9">
      <c r="A26" t="s">
        <v>93</v>
      </c>
      <c r="B26" t="s">
        <v>22</v>
      </c>
      <c r="C26" t="s">
        <v>50</v>
      </c>
      <c r="D26" t="s">
        <v>56</v>
      </c>
      <c r="E26" s="5">
        <v>2</v>
      </c>
      <c r="F26" t="s">
        <v>51</v>
      </c>
      <c r="G26" s="4">
        <v>155.696</v>
      </c>
      <c r="H26" s="5">
        <v>0</v>
      </c>
      <c r="I26" t="s">
        <v>94</v>
      </c>
    </row>
    <row r="27" spans="1:9">
      <c r="A27" t="s">
        <v>95</v>
      </c>
      <c r="B27" t="s">
        <v>22</v>
      </c>
      <c r="C27" t="s">
        <v>50</v>
      </c>
      <c r="D27" t="s">
        <v>56</v>
      </c>
      <c r="E27" s="5">
        <v>2</v>
      </c>
      <c r="F27" t="s">
        <v>47</v>
      </c>
      <c r="G27" s="4">
        <v>50.156999999999996</v>
      </c>
      <c r="H27" s="5">
        <v>0</v>
      </c>
      <c r="I27" t="s">
        <v>96</v>
      </c>
    </row>
    <row r="28" spans="1:9">
      <c r="A28" t="s">
        <v>97</v>
      </c>
      <c r="B28" t="s">
        <v>22</v>
      </c>
      <c r="C28" t="s">
        <v>38</v>
      </c>
      <c r="D28" t="s">
        <v>67</v>
      </c>
      <c r="E28" s="5">
        <v>2</v>
      </c>
      <c r="F28" t="s">
        <v>40</v>
      </c>
      <c r="G28" s="4">
        <v>13.276</v>
      </c>
      <c r="H28" s="5">
        <v>0</v>
      </c>
      <c r="I28" t="s">
        <v>98</v>
      </c>
    </row>
    <row r="29" spans="1:9">
      <c r="A29" t="s">
        <v>99</v>
      </c>
      <c r="B29" t="s">
        <v>22</v>
      </c>
      <c r="C29" t="s">
        <v>43</v>
      </c>
      <c r="D29" t="s">
        <v>67</v>
      </c>
      <c r="E29" s="5">
        <v>2</v>
      </c>
      <c r="F29" t="s">
        <v>44</v>
      </c>
      <c r="G29" s="4">
        <v>228.899</v>
      </c>
      <c r="H29" s="5">
        <v>0</v>
      </c>
      <c r="I29" t="s">
        <v>100</v>
      </c>
    </row>
    <row r="30" spans="1:9">
      <c r="A30" t="s">
        <v>101</v>
      </c>
      <c r="B30" t="s">
        <v>22</v>
      </c>
      <c r="C30" t="s">
        <v>43</v>
      </c>
      <c r="D30" t="s">
        <v>67</v>
      </c>
      <c r="E30" s="5">
        <v>2</v>
      </c>
      <c r="F30" t="s">
        <v>47</v>
      </c>
      <c r="G30" s="4">
        <v>162.34399999999999</v>
      </c>
      <c r="H30" s="5">
        <v>0</v>
      </c>
      <c r="I30" t="s">
        <v>102</v>
      </c>
    </row>
    <row r="31" spans="1:9">
      <c r="A31" t="s">
        <v>103</v>
      </c>
      <c r="B31" t="s">
        <v>22</v>
      </c>
      <c r="C31" t="s">
        <v>50</v>
      </c>
      <c r="D31" t="s">
        <v>67</v>
      </c>
      <c r="E31" s="5">
        <v>2</v>
      </c>
      <c r="F31" t="s">
        <v>51</v>
      </c>
      <c r="G31" s="4">
        <v>92.710999999999999</v>
      </c>
      <c r="H31" s="5">
        <v>0</v>
      </c>
      <c r="I31" t="s">
        <v>104</v>
      </c>
    </row>
    <row r="32" spans="1:9">
      <c r="A32" t="s">
        <v>105</v>
      </c>
      <c r="B32" t="s">
        <v>22</v>
      </c>
      <c r="C32" t="s">
        <v>50</v>
      </c>
      <c r="D32" t="s">
        <v>67</v>
      </c>
      <c r="E32" s="5">
        <v>2</v>
      </c>
      <c r="F32" t="s">
        <v>47</v>
      </c>
      <c r="G32" s="4">
        <v>52.595999999999997</v>
      </c>
      <c r="H32" s="5">
        <v>0</v>
      </c>
      <c r="I32" t="s">
        <v>106</v>
      </c>
    </row>
    <row r="33" spans="1:9">
      <c r="A33" t="s">
        <v>107</v>
      </c>
      <c r="B33" t="s">
        <v>22</v>
      </c>
      <c r="C33" t="s">
        <v>38</v>
      </c>
      <c r="D33" t="s">
        <v>39</v>
      </c>
      <c r="E33" s="5">
        <v>3</v>
      </c>
      <c r="F33" t="s">
        <v>40</v>
      </c>
      <c r="G33" s="4">
        <v>32.920999999999999</v>
      </c>
      <c r="H33" s="5">
        <v>0</v>
      </c>
      <c r="I33" t="s">
        <v>108</v>
      </c>
    </row>
    <row r="34" spans="1:9">
      <c r="A34" t="s">
        <v>109</v>
      </c>
      <c r="B34" t="s">
        <v>22</v>
      </c>
      <c r="C34" t="s">
        <v>43</v>
      </c>
      <c r="D34" t="s">
        <v>39</v>
      </c>
      <c r="E34" s="5">
        <v>3</v>
      </c>
      <c r="F34" t="s">
        <v>44</v>
      </c>
      <c r="G34" s="4">
        <v>260.17700000000002</v>
      </c>
      <c r="H34" s="5">
        <v>0</v>
      </c>
      <c r="I34" t="s">
        <v>110</v>
      </c>
    </row>
    <row r="35" spans="1:9">
      <c r="A35" t="s">
        <v>111</v>
      </c>
      <c r="B35" t="s">
        <v>22</v>
      </c>
      <c r="C35" t="s">
        <v>43</v>
      </c>
      <c r="D35" t="s">
        <v>39</v>
      </c>
      <c r="E35" s="5">
        <v>3</v>
      </c>
      <c r="F35" t="s">
        <v>47</v>
      </c>
      <c r="G35" s="4">
        <v>183.36</v>
      </c>
      <c r="H35" s="5">
        <v>0</v>
      </c>
      <c r="I35" t="s">
        <v>112</v>
      </c>
    </row>
    <row r="36" spans="1:9">
      <c r="A36" t="s">
        <v>113</v>
      </c>
      <c r="B36" t="s">
        <v>22</v>
      </c>
      <c r="C36" t="s">
        <v>50</v>
      </c>
      <c r="D36" t="s">
        <v>39</v>
      </c>
      <c r="E36" s="5">
        <v>3</v>
      </c>
      <c r="F36" t="s">
        <v>51</v>
      </c>
      <c r="G36" s="4">
        <v>121.504</v>
      </c>
      <c r="H36" s="5">
        <v>0</v>
      </c>
      <c r="I36" t="s">
        <v>114</v>
      </c>
    </row>
    <row r="37" spans="1:9">
      <c r="A37" t="s">
        <v>115</v>
      </c>
      <c r="B37" t="s">
        <v>22</v>
      </c>
      <c r="C37" t="s">
        <v>50</v>
      </c>
      <c r="D37" t="s">
        <v>39</v>
      </c>
      <c r="E37" s="5">
        <v>3</v>
      </c>
      <c r="F37" t="s">
        <v>47</v>
      </c>
      <c r="G37" s="4">
        <v>55.353000000000002</v>
      </c>
      <c r="H37" s="5">
        <v>0</v>
      </c>
      <c r="I37" t="s">
        <v>116</v>
      </c>
    </row>
    <row r="38" spans="1:9">
      <c r="A38" t="s">
        <v>117</v>
      </c>
      <c r="B38" t="s">
        <v>22</v>
      </c>
      <c r="C38" t="s">
        <v>38</v>
      </c>
      <c r="D38" t="s">
        <v>56</v>
      </c>
      <c r="E38" s="5">
        <v>3</v>
      </c>
      <c r="F38" t="s">
        <v>40</v>
      </c>
      <c r="G38" s="4">
        <v>54.036000000000001</v>
      </c>
      <c r="H38" s="5">
        <v>0</v>
      </c>
      <c r="I38" t="s">
        <v>118</v>
      </c>
    </row>
    <row r="39" spans="1:9">
      <c r="A39" t="s">
        <v>119</v>
      </c>
      <c r="B39" t="s">
        <v>22</v>
      </c>
      <c r="C39" t="s">
        <v>43</v>
      </c>
      <c r="D39" t="s">
        <v>56</v>
      </c>
      <c r="E39" s="5">
        <v>3</v>
      </c>
      <c r="F39" t="s">
        <v>44</v>
      </c>
      <c r="G39" s="4">
        <v>283.47199999999998</v>
      </c>
      <c r="H39" s="5">
        <v>0</v>
      </c>
      <c r="I39" t="s">
        <v>120</v>
      </c>
    </row>
    <row r="40" spans="1:9">
      <c r="A40" t="s">
        <v>121</v>
      </c>
      <c r="B40" t="s">
        <v>22</v>
      </c>
      <c r="C40" t="s">
        <v>43</v>
      </c>
      <c r="D40" t="s">
        <v>56</v>
      </c>
      <c r="E40" s="5">
        <v>3</v>
      </c>
      <c r="F40" t="s">
        <v>47</v>
      </c>
      <c r="G40" s="4">
        <v>151.30500000000001</v>
      </c>
      <c r="H40" s="5">
        <v>0</v>
      </c>
      <c r="I40" t="s">
        <v>122</v>
      </c>
    </row>
    <row r="41" spans="1:9">
      <c r="A41" t="s">
        <v>123</v>
      </c>
      <c r="B41" t="s">
        <v>22</v>
      </c>
      <c r="C41" t="s">
        <v>50</v>
      </c>
      <c r="D41" t="s">
        <v>56</v>
      </c>
      <c r="E41" s="5">
        <v>3</v>
      </c>
      <c r="F41" t="s">
        <v>51</v>
      </c>
      <c r="G41" s="4">
        <v>151.13999999999999</v>
      </c>
      <c r="H41" s="5">
        <v>0</v>
      </c>
      <c r="I41" t="s">
        <v>124</v>
      </c>
    </row>
    <row r="42" spans="1:9">
      <c r="A42" t="s">
        <v>125</v>
      </c>
      <c r="B42" t="s">
        <v>22</v>
      </c>
      <c r="C42" t="s">
        <v>50</v>
      </c>
      <c r="D42" t="s">
        <v>56</v>
      </c>
      <c r="E42" s="5">
        <v>3</v>
      </c>
      <c r="F42" t="s">
        <v>47</v>
      </c>
      <c r="G42" s="4">
        <v>55.280999999999999</v>
      </c>
      <c r="H42" s="5">
        <v>0</v>
      </c>
      <c r="I42" t="s">
        <v>126</v>
      </c>
    </row>
    <row r="43" spans="1:9">
      <c r="A43" t="s">
        <v>127</v>
      </c>
      <c r="B43" t="s">
        <v>22</v>
      </c>
      <c r="C43" t="s">
        <v>38</v>
      </c>
      <c r="D43" t="s">
        <v>67</v>
      </c>
      <c r="E43" s="5">
        <v>3</v>
      </c>
      <c r="F43" t="s">
        <v>40</v>
      </c>
      <c r="G43" s="4">
        <v>13.366</v>
      </c>
      <c r="H43" s="5">
        <v>0</v>
      </c>
      <c r="I43" t="s">
        <v>128</v>
      </c>
    </row>
    <row r="44" spans="1:9">
      <c r="A44" t="s">
        <v>129</v>
      </c>
      <c r="B44" t="s">
        <v>22</v>
      </c>
      <c r="C44" t="s">
        <v>43</v>
      </c>
      <c r="D44" t="s">
        <v>67</v>
      </c>
      <c r="E44" s="5">
        <v>3</v>
      </c>
      <c r="F44" t="s">
        <v>44</v>
      </c>
      <c r="G44" s="4">
        <v>239.55199999999999</v>
      </c>
      <c r="H44" s="5">
        <v>0</v>
      </c>
      <c r="I44" t="s">
        <v>130</v>
      </c>
    </row>
    <row r="45" spans="1:9">
      <c r="A45" t="s">
        <v>131</v>
      </c>
      <c r="B45" t="s">
        <v>22</v>
      </c>
      <c r="C45" t="s">
        <v>43</v>
      </c>
      <c r="D45" t="s">
        <v>67</v>
      </c>
      <c r="E45" s="5">
        <v>3</v>
      </c>
      <c r="F45" t="s">
        <v>47</v>
      </c>
      <c r="G45" s="4">
        <v>162.626</v>
      </c>
      <c r="H45" s="5">
        <v>0</v>
      </c>
      <c r="I45" t="s">
        <v>132</v>
      </c>
    </row>
    <row r="46" spans="1:9">
      <c r="A46" t="s">
        <v>133</v>
      </c>
      <c r="B46" t="s">
        <v>22</v>
      </c>
      <c r="C46" t="s">
        <v>50</v>
      </c>
      <c r="D46" t="s">
        <v>67</v>
      </c>
      <c r="E46" s="5">
        <v>3</v>
      </c>
      <c r="F46" t="s">
        <v>51</v>
      </c>
      <c r="G46" s="4">
        <v>88.64</v>
      </c>
      <c r="H46" s="5">
        <v>0</v>
      </c>
      <c r="I46" t="s">
        <v>134</v>
      </c>
    </row>
    <row r="47" spans="1:9">
      <c r="A47" t="s">
        <v>135</v>
      </c>
      <c r="B47" t="s">
        <v>22</v>
      </c>
      <c r="C47" t="s">
        <v>50</v>
      </c>
      <c r="D47" t="s">
        <v>67</v>
      </c>
      <c r="E47" s="5">
        <v>3</v>
      </c>
      <c r="F47" t="s">
        <v>47</v>
      </c>
      <c r="G47" s="4">
        <v>57.524000000000001</v>
      </c>
      <c r="H47" s="5">
        <v>0</v>
      </c>
      <c r="I47" t="s">
        <v>136</v>
      </c>
    </row>
    <row r="48" spans="1:9">
      <c r="E48" s="5"/>
      <c r="G48" s="4"/>
      <c r="H48" s="5"/>
    </row>
    <row r="49" spans="5:8">
      <c r="E49" s="5"/>
      <c r="G49" s="4"/>
      <c r="H49" s="5"/>
    </row>
    <row r="50" spans="5:8">
      <c r="E50" s="5"/>
      <c r="G50" s="4"/>
      <c r="H50" s="5"/>
    </row>
    <row r="51" spans="5:8">
      <c r="E51" s="5"/>
      <c r="G51" s="4"/>
      <c r="H51" s="5"/>
    </row>
    <row r="52" spans="5:8">
      <c r="E52" s="5"/>
      <c r="G52" s="4"/>
      <c r="H52" s="5"/>
    </row>
    <row r="53" spans="5:8">
      <c r="E53" s="5"/>
      <c r="G53" s="4"/>
      <c r="H53" s="5"/>
    </row>
    <row r="54" spans="5:8">
      <c r="E54" s="5"/>
      <c r="G54" s="4"/>
      <c r="H54" s="5"/>
    </row>
    <row r="55" spans="5:8">
      <c r="E55" s="5"/>
      <c r="G55" s="4"/>
      <c r="H55" s="5"/>
    </row>
    <row r="56" spans="5:8">
      <c r="E56" s="5"/>
      <c r="G56" s="4"/>
      <c r="H56" s="5"/>
    </row>
    <row r="57" spans="5:8">
      <c r="E57" s="5"/>
      <c r="G57" s="4"/>
      <c r="H57" s="5"/>
    </row>
    <row r="58" spans="5:8">
      <c r="E58" s="5"/>
      <c r="G58" s="4"/>
      <c r="H58" s="5"/>
    </row>
    <row r="59" spans="5:8">
      <c r="E59" s="5"/>
      <c r="G59" s="4"/>
      <c r="H59" s="5"/>
    </row>
    <row r="60" spans="5:8">
      <c r="E60" s="5"/>
      <c r="G60" s="4"/>
      <c r="H60" s="5"/>
    </row>
    <row r="61" spans="5:8">
      <c r="E61" s="5"/>
      <c r="G61" s="4"/>
      <c r="H61" s="5"/>
    </row>
    <row r="62" spans="5:8">
      <c r="E62" s="5"/>
      <c r="G62" s="4"/>
      <c r="H62" s="5"/>
    </row>
    <row r="63" spans="5:8">
      <c r="E63" s="5"/>
      <c r="G63" s="4"/>
      <c r="H63" s="5"/>
    </row>
    <row r="64" spans="5:8">
      <c r="E64" s="5"/>
      <c r="G64" s="4"/>
      <c r="H64" s="5"/>
    </row>
    <row r="65" spans="5:8">
      <c r="E65" s="5"/>
      <c r="G65" s="4"/>
      <c r="H65" s="5"/>
    </row>
    <row r="66" spans="5:8">
      <c r="E66" s="5"/>
      <c r="G66" s="4"/>
      <c r="H66" s="5"/>
    </row>
    <row r="67" spans="5:8">
      <c r="E67" s="5"/>
      <c r="G67" s="4"/>
      <c r="H67" s="5"/>
    </row>
    <row r="68" spans="5:8">
      <c r="E68" s="5"/>
      <c r="G68" s="4"/>
      <c r="H68" s="5"/>
    </row>
    <row r="69" spans="5:8">
      <c r="E69" s="5"/>
      <c r="G69" s="4"/>
      <c r="H69" s="5"/>
    </row>
    <row r="70" spans="5:8">
      <c r="E70" s="5"/>
      <c r="G70" s="4"/>
      <c r="H70" s="5"/>
    </row>
    <row r="71" spans="5:8">
      <c r="E71" s="5"/>
      <c r="G71" s="4"/>
      <c r="H71" s="5"/>
    </row>
    <row r="72" spans="5:8">
      <c r="E72" s="5"/>
      <c r="G72" s="4"/>
      <c r="H72" s="5"/>
    </row>
    <row r="73" spans="5:8">
      <c r="E73" s="5"/>
      <c r="G73" s="4"/>
      <c r="H73" s="5"/>
    </row>
    <row r="74" spans="5:8">
      <c r="E74" s="5"/>
      <c r="G74" s="4"/>
      <c r="H74" s="5"/>
    </row>
    <row r="75" spans="5:8">
      <c r="E75" s="5"/>
      <c r="G75" s="4"/>
      <c r="H75" s="5"/>
    </row>
    <row r="76" spans="5:8">
      <c r="E76" s="5"/>
      <c r="G76" s="4"/>
      <c r="H76" s="5"/>
    </row>
    <row r="77" spans="5:8">
      <c r="E77" s="5"/>
      <c r="G77" s="4"/>
      <c r="H77" s="5"/>
    </row>
    <row r="78" spans="5:8">
      <c r="E78" s="5"/>
      <c r="G78" s="4"/>
      <c r="H78" s="5"/>
    </row>
    <row r="79" spans="5:8">
      <c r="E79" s="5"/>
      <c r="G79" s="4"/>
      <c r="H79" s="5"/>
    </row>
    <row r="80" spans="5:8">
      <c r="E80" s="5"/>
      <c r="G80" s="4"/>
      <c r="H80" s="5"/>
    </row>
    <row r="81" spans="5:8">
      <c r="E81" s="5"/>
      <c r="G81" s="4"/>
      <c r="H81" s="5"/>
    </row>
    <row r="82" spans="5:8">
      <c r="E82" s="5"/>
      <c r="G82" s="4"/>
      <c r="H82" s="5"/>
    </row>
    <row r="83" spans="5:8">
      <c r="E83" s="5"/>
      <c r="G83" s="4"/>
      <c r="H83" s="5"/>
    </row>
    <row r="84" spans="5:8">
      <c r="E84" s="5"/>
      <c r="G84" s="4"/>
      <c r="H84" s="5"/>
    </row>
    <row r="85" spans="5:8">
      <c r="E85" s="5"/>
      <c r="G85" s="4"/>
      <c r="H85" s="5"/>
    </row>
    <row r="86" spans="5:8">
      <c r="E86" s="5"/>
      <c r="G86" s="4"/>
      <c r="H86" s="5"/>
    </row>
    <row r="87" spans="5:8">
      <c r="E87" s="5"/>
      <c r="G87" s="4"/>
      <c r="H87" s="5"/>
    </row>
    <row r="88" spans="5:8">
      <c r="E88" s="5"/>
      <c r="G88" s="4"/>
      <c r="H88" s="5"/>
    </row>
    <row r="89" spans="5:8">
      <c r="E89" s="5"/>
      <c r="G89" s="4"/>
      <c r="H89" s="5"/>
    </row>
    <row r="90" spans="5:8">
      <c r="E90" s="5"/>
      <c r="G90" s="4"/>
      <c r="H90" s="5"/>
    </row>
    <row r="91" spans="5:8">
      <c r="E91" s="5"/>
      <c r="G91" s="4"/>
      <c r="H91" s="5"/>
    </row>
    <row r="92" spans="5:8">
      <c r="E92" s="5"/>
      <c r="G92" s="4"/>
      <c r="H92" s="5"/>
    </row>
    <row r="93" spans="5:8">
      <c r="E93" s="5"/>
      <c r="G93" s="4"/>
      <c r="H93" s="5"/>
    </row>
    <row r="94" spans="5:8">
      <c r="E94" s="5"/>
      <c r="G94" s="4"/>
      <c r="H94" s="5"/>
    </row>
    <row r="95" spans="5:8">
      <c r="E95" s="5"/>
      <c r="G95" s="4"/>
      <c r="H95" s="5"/>
    </row>
    <row r="96" spans="5:8">
      <c r="E96" s="5"/>
      <c r="G96" s="4"/>
      <c r="H96" s="5"/>
    </row>
    <row r="97" spans="5:8">
      <c r="E97" s="5"/>
      <c r="G97" s="4"/>
      <c r="H97" s="5"/>
    </row>
    <row r="98" spans="5:8">
      <c r="E98" s="5"/>
      <c r="G98" s="4"/>
      <c r="H98" s="5"/>
    </row>
    <row r="99" spans="5:8">
      <c r="E99" s="5"/>
      <c r="G99" s="4"/>
      <c r="H99" s="5"/>
    </row>
    <row r="100" spans="5:8">
      <c r="E100" s="5"/>
      <c r="G100" s="4"/>
      <c r="H100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tabSelected="1" workbookViewId="0">
      <selection activeCell="H9" sqref="H9"/>
    </sheetView>
  </sheetViews>
  <sheetFormatPr defaultRowHeight="13.8"/>
  <cols>
    <col min="1" max="8" width="17" customWidth="1"/>
    <col min="9" max="9" width="36" hidden="1" customWidth="1"/>
  </cols>
  <sheetData>
    <row r="1" spans="1:9">
      <c r="A1" s="3" t="s">
        <v>24</v>
      </c>
      <c r="B1" s="3" t="s">
        <v>25</v>
      </c>
      <c r="C1" s="3" t="s">
        <v>26</v>
      </c>
      <c r="D1" s="3" t="s">
        <v>27</v>
      </c>
      <c r="E1" s="3" t="s">
        <v>137</v>
      </c>
      <c r="F1" s="3" t="s">
        <v>138</v>
      </c>
      <c r="G1" s="3" t="s">
        <v>139</v>
      </c>
      <c r="H1" s="3" t="s">
        <v>140</v>
      </c>
      <c r="I1" s="3" t="s">
        <v>141</v>
      </c>
    </row>
    <row r="2" spans="1:9">
      <c r="A2" s="6" t="s">
        <v>22</v>
      </c>
      <c r="B2" s="6" t="s">
        <v>38</v>
      </c>
      <c r="C2" s="6" t="s">
        <v>39</v>
      </c>
      <c r="D2" s="6">
        <v>1</v>
      </c>
      <c r="E2" s="7" t="str">
        <f t="shared" ref="E2:E28" si="0">IF($B2="ETL","spark_etl_total",IF($B2="ELT","spark_extract_load","spark_extract_clean_load"))</f>
        <v>spark_etl_total</v>
      </c>
      <c r="F2" s="8">
        <f>SUMIFS('Raw Scenario Times'!$G$2:$G$47,'Raw Scenario Times'!$B$2:$B$47,$A2,'Raw Scenario Times'!$C$2:$C$47,$B2,'Raw Scenario Times'!$D$2:$D$47,$C2,'Raw Scenario Times'!$E$2:$E$47,$D2,'Raw Scenario Times'!$F$2:$F$47,$E2)</f>
        <v>30.41</v>
      </c>
      <c r="G2" s="8">
        <f>IF($B2="ETL",0,SUMIFS('Raw Scenario Times'!$G$2:$G$47,'Raw Scenario Times'!$B$2:$B$47,$A2,'Raw Scenario Times'!$C$2:$C$47,$B2,'Raw Scenario Times'!$D$2:$D$47,$C2,'Raw Scenario Times'!$E$2:$E$47,$D2,'Raw Scenario Times'!$F$2:$F$47,"dbt_transform"))</f>
        <v>0</v>
      </c>
      <c r="H2" s="8">
        <f t="shared" ref="H2:H28" si="1">F2+G2</f>
        <v>30.41</v>
      </c>
      <c r="I2" t="s">
        <v>142</v>
      </c>
    </row>
    <row r="3" spans="1:9">
      <c r="A3" s="6" t="s">
        <v>22</v>
      </c>
      <c r="B3" s="6" t="s">
        <v>38</v>
      </c>
      <c r="C3" s="6" t="s">
        <v>39</v>
      </c>
      <c r="D3" s="6">
        <v>2</v>
      </c>
      <c r="E3" s="7" t="str">
        <f t="shared" si="0"/>
        <v>spark_etl_total</v>
      </c>
      <c r="F3" s="8">
        <f>SUMIFS('Raw Scenario Times'!$G$2:$G$47,'Raw Scenario Times'!$B$2:$B$47,$A3,'Raw Scenario Times'!$C$2:$C$47,$B3,'Raw Scenario Times'!$D$2:$D$47,$C3,'Raw Scenario Times'!$E$2:$E$47,$D3,'Raw Scenario Times'!$F$2:$F$47,$E3)</f>
        <v>34.152999999999999</v>
      </c>
      <c r="G3" s="8">
        <f>IF($B3="ETL",0,SUMIFS('Raw Scenario Times'!$G$2:$G$47,'Raw Scenario Times'!$B$2:$B$47,$A3,'Raw Scenario Times'!$C$2:$C$47,$B3,'Raw Scenario Times'!$D$2:$D$47,$C3,'Raw Scenario Times'!$E$2:$E$47,$D3,'Raw Scenario Times'!$F$2:$F$47,"dbt_transform"))</f>
        <v>0</v>
      </c>
      <c r="H3" s="8">
        <f t="shared" si="1"/>
        <v>34.152999999999999</v>
      </c>
      <c r="I3" t="s">
        <v>142</v>
      </c>
    </row>
    <row r="4" spans="1:9">
      <c r="A4" s="6" t="s">
        <v>22</v>
      </c>
      <c r="B4" s="6" t="s">
        <v>38</v>
      </c>
      <c r="C4" s="6" t="s">
        <v>39</v>
      </c>
      <c r="D4" s="6">
        <v>3</v>
      </c>
      <c r="E4" s="7" t="str">
        <f t="shared" si="0"/>
        <v>spark_etl_total</v>
      </c>
      <c r="F4" s="8">
        <f>SUMIFS('Raw Scenario Times'!$G$2:$G$47,'Raw Scenario Times'!$B$2:$B$47,$A4,'Raw Scenario Times'!$C$2:$C$47,$B4,'Raw Scenario Times'!$D$2:$D$47,$C4,'Raw Scenario Times'!$E$2:$E$47,$D4,'Raw Scenario Times'!$F$2:$F$47,$E4)</f>
        <v>32.920999999999999</v>
      </c>
      <c r="G4" s="8">
        <f>IF($B4="ETL",0,SUMIFS('Raw Scenario Times'!$G$2:$G$47,'Raw Scenario Times'!$B$2:$B$47,$A4,'Raw Scenario Times'!$C$2:$C$47,$B4,'Raw Scenario Times'!$D$2:$D$47,$C4,'Raw Scenario Times'!$E$2:$E$47,$D4,'Raw Scenario Times'!$F$2:$F$47,"dbt_transform"))</f>
        <v>0</v>
      </c>
      <c r="H4" s="8">
        <f t="shared" si="1"/>
        <v>32.920999999999999</v>
      </c>
      <c r="I4" t="s">
        <v>142</v>
      </c>
    </row>
    <row r="5" spans="1:9">
      <c r="A5" s="6" t="s">
        <v>22</v>
      </c>
      <c r="B5" s="6" t="s">
        <v>38</v>
      </c>
      <c r="C5" s="6" t="s">
        <v>56</v>
      </c>
      <c r="D5" s="6">
        <v>1</v>
      </c>
      <c r="E5" s="7" t="str">
        <f t="shared" si="0"/>
        <v>spark_etl_total</v>
      </c>
      <c r="F5" s="8">
        <f>SUMIFS('Raw Scenario Times'!$G$2:$G$47,'Raw Scenario Times'!$B$2:$B$47,$A5,'Raw Scenario Times'!$C$2:$C$47,$B5,'Raw Scenario Times'!$D$2:$D$47,$C5,'Raw Scenario Times'!$E$2:$E$47,$D5,'Raw Scenario Times'!$F$2:$F$47,$E5)</f>
        <v>62.078000000000003</v>
      </c>
      <c r="G5" s="8">
        <f>IF($B5="ETL",0,SUMIFS('Raw Scenario Times'!$G$2:$G$47,'Raw Scenario Times'!$B$2:$B$47,$A5,'Raw Scenario Times'!$C$2:$C$47,$B5,'Raw Scenario Times'!$D$2:$D$47,$C5,'Raw Scenario Times'!$E$2:$E$47,$D5,'Raw Scenario Times'!$F$2:$F$47,"dbt_transform"))</f>
        <v>0</v>
      </c>
      <c r="H5" s="8">
        <f t="shared" si="1"/>
        <v>62.078000000000003</v>
      </c>
      <c r="I5" t="s">
        <v>142</v>
      </c>
    </row>
    <row r="6" spans="1:9">
      <c r="A6" s="6" t="s">
        <v>22</v>
      </c>
      <c r="B6" s="6" t="s">
        <v>38</v>
      </c>
      <c r="C6" s="6" t="s">
        <v>56</v>
      </c>
      <c r="D6" s="6">
        <v>2</v>
      </c>
      <c r="E6" s="7" t="str">
        <f t="shared" si="0"/>
        <v>spark_etl_total</v>
      </c>
      <c r="F6" s="8">
        <f>SUMIFS('Raw Scenario Times'!$G$2:$G$47,'Raw Scenario Times'!$B$2:$B$47,$A6,'Raw Scenario Times'!$C$2:$C$47,$B6,'Raw Scenario Times'!$D$2:$D$47,$C6,'Raw Scenario Times'!$E$2:$E$47,$D6,'Raw Scenario Times'!$F$2:$F$47,$E6)</f>
        <v>54.920999999999999</v>
      </c>
      <c r="G6" s="8">
        <f>IF($B6="ETL",0,SUMIFS('Raw Scenario Times'!$G$2:$G$47,'Raw Scenario Times'!$B$2:$B$47,$A6,'Raw Scenario Times'!$C$2:$C$47,$B6,'Raw Scenario Times'!$D$2:$D$47,$C6,'Raw Scenario Times'!$E$2:$E$47,$D6,'Raw Scenario Times'!$F$2:$F$47,"dbt_transform"))</f>
        <v>0</v>
      </c>
      <c r="H6" s="8">
        <f t="shared" si="1"/>
        <v>54.920999999999999</v>
      </c>
      <c r="I6" t="s">
        <v>142</v>
      </c>
    </row>
    <row r="7" spans="1:9">
      <c r="A7" s="6" t="s">
        <v>22</v>
      </c>
      <c r="B7" s="6" t="s">
        <v>38</v>
      </c>
      <c r="C7" s="6" t="s">
        <v>56</v>
      </c>
      <c r="D7" s="6">
        <v>3</v>
      </c>
      <c r="E7" s="7" t="str">
        <f t="shared" si="0"/>
        <v>spark_etl_total</v>
      </c>
      <c r="F7" s="8">
        <f>SUMIFS('Raw Scenario Times'!$G$2:$G$47,'Raw Scenario Times'!$B$2:$B$47,$A7,'Raw Scenario Times'!$C$2:$C$47,$B7,'Raw Scenario Times'!$D$2:$D$47,$C7,'Raw Scenario Times'!$E$2:$E$47,$D7,'Raw Scenario Times'!$F$2:$F$47,$E7)</f>
        <v>54.036000000000001</v>
      </c>
      <c r="G7" s="8">
        <f>IF($B7="ETL",0,SUMIFS('Raw Scenario Times'!$G$2:$G$47,'Raw Scenario Times'!$B$2:$B$47,$A7,'Raw Scenario Times'!$C$2:$C$47,$B7,'Raw Scenario Times'!$D$2:$D$47,$C7,'Raw Scenario Times'!$E$2:$E$47,$D7,'Raw Scenario Times'!$F$2:$F$47,"dbt_transform"))</f>
        <v>0</v>
      </c>
      <c r="H7" s="8">
        <f t="shared" si="1"/>
        <v>54.036000000000001</v>
      </c>
      <c r="I7" t="s">
        <v>142</v>
      </c>
    </row>
    <row r="8" spans="1:9">
      <c r="A8" s="6" t="s">
        <v>22</v>
      </c>
      <c r="B8" s="6" t="s">
        <v>38</v>
      </c>
      <c r="C8" s="6" t="s">
        <v>67</v>
      </c>
      <c r="D8" s="6">
        <v>1</v>
      </c>
      <c r="E8" s="7" t="str">
        <f t="shared" si="0"/>
        <v>spark_etl_total</v>
      </c>
      <c r="F8" s="8">
        <f>SUMIFS('Raw Scenario Times'!$G$2:$G$47,'Raw Scenario Times'!$B$2:$B$47,$A8,'Raw Scenario Times'!$C$2:$C$47,$B8,'Raw Scenario Times'!$D$2:$D$47,$C8,'Raw Scenario Times'!$E$2:$E$47,$D8,'Raw Scenario Times'!$F$2:$F$47,$E8)</f>
        <v>11.795999999999999</v>
      </c>
      <c r="G8" s="8">
        <f>IF($B8="ETL",0,SUMIFS('Raw Scenario Times'!$G$2:$G$47,'Raw Scenario Times'!$B$2:$B$47,$A8,'Raw Scenario Times'!$C$2:$C$47,$B8,'Raw Scenario Times'!$D$2:$D$47,$C8,'Raw Scenario Times'!$E$2:$E$47,$D8,'Raw Scenario Times'!$F$2:$F$47,"dbt_transform"))</f>
        <v>0</v>
      </c>
      <c r="H8" s="8">
        <f t="shared" si="1"/>
        <v>11.795999999999999</v>
      </c>
      <c r="I8" t="s">
        <v>142</v>
      </c>
    </row>
    <row r="9" spans="1:9">
      <c r="A9" s="6" t="s">
        <v>22</v>
      </c>
      <c r="B9" s="6" t="s">
        <v>38</v>
      </c>
      <c r="C9" s="6" t="s">
        <v>67</v>
      </c>
      <c r="D9" s="6">
        <v>2</v>
      </c>
      <c r="E9" s="7" t="str">
        <f t="shared" si="0"/>
        <v>spark_etl_total</v>
      </c>
      <c r="F9" s="8">
        <f>SUMIFS('Raw Scenario Times'!$G$2:$G$47,'Raw Scenario Times'!$B$2:$B$47,$A9,'Raw Scenario Times'!$C$2:$C$47,$B9,'Raw Scenario Times'!$D$2:$D$47,$C9,'Raw Scenario Times'!$E$2:$E$47,$D9,'Raw Scenario Times'!$F$2:$F$47,$E9)</f>
        <v>13.276</v>
      </c>
      <c r="G9" s="8">
        <f>IF($B9="ETL",0,SUMIFS('Raw Scenario Times'!$G$2:$G$47,'Raw Scenario Times'!$B$2:$B$47,$A9,'Raw Scenario Times'!$C$2:$C$47,$B9,'Raw Scenario Times'!$D$2:$D$47,$C9,'Raw Scenario Times'!$E$2:$E$47,$D9,'Raw Scenario Times'!$F$2:$F$47,"dbt_transform"))</f>
        <v>0</v>
      </c>
      <c r="H9" s="8">
        <f t="shared" si="1"/>
        <v>13.276</v>
      </c>
      <c r="I9" t="s">
        <v>142</v>
      </c>
    </row>
    <row r="10" spans="1:9">
      <c r="A10" s="6" t="s">
        <v>22</v>
      </c>
      <c r="B10" s="6" t="s">
        <v>38</v>
      </c>
      <c r="C10" s="6" t="s">
        <v>67</v>
      </c>
      <c r="D10" s="6">
        <v>3</v>
      </c>
      <c r="E10" s="7" t="str">
        <f t="shared" si="0"/>
        <v>spark_etl_total</v>
      </c>
      <c r="F10" s="8">
        <f>SUMIFS('Raw Scenario Times'!$G$2:$G$47,'Raw Scenario Times'!$B$2:$B$47,$A10,'Raw Scenario Times'!$C$2:$C$47,$B10,'Raw Scenario Times'!$D$2:$D$47,$C10,'Raw Scenario Times'!$E$2:$E$47,$D10,'Raw Scenario Times'!$F$2:$F$47,$E10)</f>
        <v>13.366</v>
      </c>
      <c r="G10" s="8">
        <f>IF($B10="ETL",0,SUMIFS('Raw Scenario Times'!$G$2:$G$47,'Raw Scenario Times'!$B$2:$B$47,$A10,'Raw Scenario Times'!$C$2:$C$47,$B10,'Raw Scenario Times'!$D$2:$D$47,$C10,'Raw Scenario Times'!$E$2:$E$47,$D10,'Raw Scenario Times'!$F$2:$F$47,"dbt_transform"))</f>
        <v>0</v>
      </c>
      <c r="H10" s="8">
        <f t="shared" si="1"/>
        <v>13.366</v>
      </c>
      <c r="I10" t="s">
        <v>142</v>
      </c>
    </row>
    <row r="11" spans="1:9">
      <c r="A11" s="6" t="s">
        <v>22</v>
      </c>
      <c r="B11" s="6" t="s">
        <v>43</v>
      </c>
      <c r="C11" s="6" t="s">
        <v>39</v>
      </c>
      <c r="D11" s="6">
        <v>1</v>
      </c>
      <c r="E11" s="7" t="str">
        <f t="shared" si="0"/>
        <v>spark_extract_load</v>
      </c>
      <c r="F11" s="8">
        <f>SUMIFS('Raw Scenario Times'!$G$2:$G$47,'Raw Scenario Times'!$B$2:$B$47,$A11,'Raw Scenario Times'!$C$2:$C$47,$B11,'Raw Scenario Times'!$D$2:$D$47,$C11,'Raw Scenario Times'!$E$2:$E$47,$D11,'Raw Scenario Times'!$F$2:$F$47,$E11)</f>
        <v>275.82400000000001</v>
      </c>
      <c r="G11" s="8">
        <f>IF($B11="ETL",0,SUMIFS('Raw Scenario Times'!$G$2:$G$47,'Raw Scenario Times'!$B$2:$B$47,$A11,'Raw Scenario Times'!$C$2:$C$47,$B11,'Raw Scenario Times'!$D$2:$D$47,$C11,'Raw Scenario Times'!$E$2:$E$47,$D11,'Raw Scenario Times'!$F$2:$F$47,"dbt_transform"))</f>
        <v>122.479</v>
      </c>
      <c r="H11" s="8">
        <f t="shared" si="1"/>
        <v>398.303</v>
      </c>
      <c r="I11" t="s">
        <v>142</v>
      </c>
    </row>
    <row r="12" spans="1:9">
      <c r="A12" s="6" t="s">
        <v>22</v>
      </c>
      <c r="B12" s="6" t="s">
        <v>43</v>
      </c>
      <c r="C12" s="6" t="s">
        <v>39</v>
      </c>
      <c r="D12" s="6">
        <v>2</v>
      </c>
      <c r="E12" s="7" t="str">
        <f t="shared" si="0"/>
        <v>spark_extract_load</v>
      </c>
      <c r="F12" s="8">
        <f>SUMIFS('Raw Scenario Times'!$G$2:$G$47,'Raw Scenario Times'!$B$2:$B$47,$A12,'Raw Scenario Times'!$C$2:$C$47,$B12,'Raw Scenario Times'!$D$2:$D$47,$C12,'Raw Scenario Times'!$E$2:$E$47,$D12,'Raw Scenario Times'!$F$2:$F$47,$E12)</f>
        <v>243.31800000000001</v>
      </c>
      <c r="G12" s="8">
        <f>IF($B12="ETL",0,SUMIFS('Raw Scenario Times'!$G$2:$G$47,'Raw Scenario Times'!$B$2:$B$47,$A12,'Raw Scenario Times'!$C$2:$C$47,$B12,'Raw Scenario Times'!$D$2:$D$47,$C12,'Raw Scenario Times'!$E$2:$E$47,$D12,'Raw Scenario Times'!$F$2:$F$47,"dbt_transform"))</f>
        <v>139.60900000000001</v>
      </c>
      <c r="H12" s="8">
        <f t="shared" si="1"/>
        <v>382.92700000000002</v>
      </c>
      <c r="I12" t="s">
        <v>142</v>
      </c>
    </row>
    <row r="13" spans="1:9">
      <c r="A13" s="6" t="s">
        <v>22</v>
      </c>
      <c r="B13" s="6" t="s">
        <v>43</v>
      </c>
      <c r="C13" s="6" t="s">
        <v>39</v>
      </c>
      <c r="D13" s="6">
        <v>3</v>
      </c>
      <c r="E13" s="7" t="str">
        <f t="shared" si="0"/>
        <v>spark_extract_load</v>
      </c>
      <c r="F13" s="8">
        <f>SUMIFS('Raw Scenario Times'!$G$2:$G$47,'Raw Scenario Times'!$B$2:$B$47,$A13,'Raw Scenario Times'!$C$2:$C$47,$B13,'Raw Scenario Times'!$D$2:$D$47,$C13,'Raw Scenario Times'!$E$2:$E$47,$D13,'Raw Scenario Times'!$F$2:$F$47,$E13)</f>
        <v>260.17700000000002</v>
      </c>
      <c r="G13" s="8">
        <f>IF($B13="ETL",0,SUMIFS('Raw Scenario Times'!$G$2:$G$47,'Raw Scenario Times'!$B$2:$B$47,$A13,'Raw Scenario Times'!$C$2:$C$47,$B13,'Raw Scenario Times'!$D$2:$D$47,$C13,'Raw Scenario Times'!$E$2:$E$47,$D13,'Raw Scenario Times'!$F$2:$F$47,"dbt_transform"))</f>
        <v>183.36</v>
      </c>
      <c r="H13" s="8">
        <f t="shared" si="1"/>
        <v>443.53700000000003</v>
      </c>
      <c r="I13" t="s">
        <v>142</v>
      </c>
    </row>
    <row r="14" spans="1:9">
      <c r="A14" s="6" t="s">
        <v>22</v>
      </c>
      <c r="B14" s="6" t="s">
        <v>43</v>
      </c>
      <c r="C14" s="6" t="s">
        <v>56</v>
      </c>
      <c r="D14" s="6">
        <v>1</v>
      </c>
      <c r="E14" s="7" t="str">
        <f t="shared" si="0"/>
        <v>spark_extract_load</v>
      </c>
      <c r="F14" s="8">
        <f>SUMIFS('Raw Scenario Times'!$G$2:$G$47,'Raw Scenario Times'!$B$2:$B$47,$A14,'Raw Scenario Times'!$C$2:$C$47,$B14,'Raw Scenario Times'!$D$2:$D$47,$C14,'Raw Scenario Times'!$E$2:$E$47,$D14,'Raw Scenario Times'!$F$2:$F$47,$E14)</f>
        <v>314.45699999999999</v>
      </c>
      <c r="G14" s="8">
        <f>IF($B14="ETL",0,SUMIFS('Raw Scenario Times'!$G$2:$G$47,'Raw Scenario Times'!$B$2:$B$47,$A14,'Raw Scenario Times'!$C$2:$C$47,$B14,'Raw Scenario Times'!$D$2:$D$47,$C14,'Raw Scenario Times'!$E$2:$E$47,$D14,'Raw Scenario Times'!$F$2:$F$47,"dbt_transform"))</f>
        <v>132.715</v>
      </c>
      <c r="H14" s="8">
        <f t="shared" si="1"/>
        <v>447.17200000000003</v>
      </c>
      <c r="I14" t="s">
        <v>142</v>
      </c>
    </row>
    <row r="15" spans="1:9">
      <c r="A15" s="6" t="s">
        <v>22</v>
      </c>
      <c r="B15" s="6" t="s">
        <v>43</v>
      </c>
      <c r="C15" s="6" t="s">
        <v>56</v>
      </c>
      <c r="D15" s="6">
        <v>2</v>
      </c>
      <c r="E15" s="7" t="str">
        <f t="shared" si="0"/>
        <v>spark_extract_load</v>
      </c>
      <c r="F15" s="8">
        <f>SUMIFS('Raw Scenario Times'!$G$2:$G$47,'Raw Scenario Times'!$B$2:$B$47,$A15,'Raw Scenario Times'!$C$2:$C$47,$B15,'Raw Scenario Times'!$D$2:$D$47,$C15,'Raw Scenario Times'!$E$2:$E$47,$D15,'Raw Scenario Times'!$F$2:$F$47,$E15)</f>
        <v>292.36200000000002</v>
      </c>
      <c r="G15" s="8">
        <f>IF($B15="ETL",0,SUMIFS('Raw Scenario Times'!$G$2:$G$47,'Raw Scenario Times'!$B$2:$B$47,$A15,'Raw Scenario Times'!$C$2:$C$47,$B15,'Raw Scenario Times'!$D$2:$D$47,$C15,'Raw Scenario Times'!$E$2:$E$47,$D15,'Raw Scenario Times'!$F$2:$F$47,"dbt_transform"))</f>
        <v>181.328</v>
      </c>
      <c r="H15" s="8">
        <f t="shared" si="1"/>
        <v>473.69000000000005</v>
      </c>
      <c r="I15" t="s">
        <v>142</v>
      </c>
    </row>
    <row r="16" spans="1:9">
      <c r="A16" s="6" t="s">
        <v>22</v>
      </c>
      <c r="B16" s="6" t="s">
        <v>43</v>
      </c>
      <c r="C16" s="6" t="s">
        <v>56</v>
      </c>
      <c r="D16" s="6">
        <v>3</v>
      </c>
      <c r="E16" s="7" t="str">
        <f t="shared" si="0"/>
        <v>spark_extract_load</v>
      </c>
      <c r="F16" s="8">
        <f>SUMIFS('Raw Scenario Times'!$G$2:$G$47,'Raw Scenario Times'!$B$2:$B$47,$A16,'Raw Scenario Times'!$C$2:$C$47,$B16,'Raw Scenario Times'!$D$2:$D$47,$C16,'Raw Scenario Times'!$E$2:$E$47,$D16,'Raw Scenario Times'!$F$2:$F$47,$E16)</f>
        <v>283.47199999999998</v>
      </c>
      <c r="G16" s="8">
        <f>IF($B16="ETL",0,SUMIFS('Raw Scenario Times'!$G$2:$G$47,'Raw Scenario Times'!$B$2:$B$47,$A16,'Raw Scenario Times'!$C$2:$C$47,$B16,'Raw Scenario Times'!$D$2:$D$47,$C16,'Raw Scenario Times'!$E$2:$E$47,$D16,'Raw Scenario Times'!$F$2:$F$47,"dbt_transform"))</f>
        <v>151.30500000000001</v>
      </c>
      <c r="H16" s="8">
        <f t="shared" si="1"/>
        <v>434.77699999999999</v>
      </c>
      <c r="I16" t="s">
        <v>142</v>
      </c>
    </row>
    <row r="17" spans="1:9">
      <c r="A17" s="6" t="s">
        <v>22</v>
      </c>
      <c r="B17" s="6" t="s">
        <v>43</v>
      </c>
      <c r="C17" s="6" t="s">
        <v>67</v>
      </c>
      <c r="D17" s="6">
        <v>1</v>
      </c>
      <c r="E17" s="7" t="str">
        <f t="shared" si="0"/>
        <v>spark_extract_load</v>
      </c>
      <c r="F17" s="8">
        <f>SUMIFS('Raw Scenario Times'!$G$2:$G$47,'Raw Scenario Times'!$B$2:$B$47,$A17,'Raw Scenario Times'!$C$2:$C$47,$B17,'Raw Scenario Times'!$D$2:$D$47,$C17,'Raw Scenario Times'!$E$2:$E$47,$D17,'Raw Scenario Times'!$F$2:$F$47,$E17)</f>
        <v>222.71100000000001</v>
      </c>
      <c r="G17" s="8">
        <f>IF($B17="ETL",0,SUMIFS('Raw Scenario Times'!$G$2:$G$47,'Raw Scenario Times'!$B$2:$B$47,$A17,'Raw Scenario Times'!$C$2:$C$47,$B17,'Raw Scenario Times'!$D$2:$D$47,$C17,'Raw Scenario Times'!$E$2:$E$47,$D17,'Raw Scenario Times'!$F$2:$F$47,"dbt_transform"))</f>
        <v>130.869</v>
      </c>
      <c r="H17" s="8">
        <f t="shared" si="1"/>
        <v>353.58000000000004</v>
      </c>
      <c r="I17" t="s">
        <v>142</v>
      </c>
    </row>
    <row r="18" spans="1:9">
      <c r="A18" s="6" t="s">
        <v>22</v>
      </c>
      <c r="B18" s="6" t="s">
        <v>43</v>
      </c>
      <c r="C18" s="6" t="s">
        <v>67</v>
      </c>
      <c r="D18" s="6">
        <v>2</v>
      </c>
      <c r="E18" s="7" t="str">
        <f t="shared" si="0"/>
        <v>spark_extract_load</v>
      </c>
      <c r="F18" s="8">
        <f>SUMIFS('Raw Scenario Times'!$G$2:$G$47,'Raw Scenario Times'!$B$2:$B$47,$A18,'Raw Scenario Times'!$C$2:$C$47,$B18,'Raw Scenario Times'!$D$2:$D$47,$C18,'Raw Scenario Times'!$E$2:$E$47,$D18,'Raw Scenario Times'!$F$2:$F$47,$E18)</f>
        <v>228.899</v>
      </c>
      <c r="G18" s="8">
        <f>IF($B18="ETL",0,SUMIFS('Raw Scenario Times'!$G$2:$G$47,'Raw Scenario Times'!$B$2:$B$47,$A18,'Raw Scenario Times'!$C$2:$C$47,$B18,'Raw Scenario Times'!$D$2:$D$47,$C18,'Raw Scenario Times'!$E$2:$E$47,$D18,'Raw Scenario Times'!$F$2:$F$47,"dbt_transform"))</f>
        <v>162.34399999999999</v>
      </c>
      <c r="H18" s="8">
        <f t="shared" si="1"/>
        <v>391.24299999999999</v>
      </c>
      <c r="I18" t="s">
        <v>142</v>
      </c>
    </row>
    <row r="19" spans="1:9">
      <c r="A19" s="6" t="s">
        <v>22</v>
      </c>
      <c r="B19" s="6" t="s">
        <v>43</v>
      </c>
      <c r="C19" s="6" t="s">
        <v>67</v>
      </c>
      <c r="D19" s="6">
        <v>3</v>
      </c>
      <c r="E19" s="7" t="str">
        <f t="shared" si="0"/>
        <v>spark_extract_load</v>
      </c>
      <c r="F19" s="8">
        <f>SUMIFS('Raw Scenario Times'!$G$2:$G$47,'Raw Scenario Times'!$B$2:$B$47,$A19,'Raw Scenario Times'!$C$2:$C$47,$B19,'Raw Scenario Times'!$D$2:$D$47,$C19,'Raw Scenario Times'!$E$2:$E$47,$D19,'Raw Scenario Times'!$F$2:$F$47,$E19)</f>
        <v>239.55199999999999</v>
      </c>
      <c r="G19" s="8">
        <f>IF($B19="ETL",0,SUMIFS('Raw Scenario Times'!$G$2:$G$47,'Raw Scenario Times'!$B$2:$B$47,$A19,'Raw Scenario Times'!$C$2:$C$47,$B19,'Raw Scenario Times'!$D$2:$D$47,$C19,'Raw Scenario Times'!$E$2:$E$47,$D19,'Raw Scenario Times'!$F$2:$F$47,"dbt_transform"))</f>
        <v>162.626</v>
      </c>
      <c r="H19" s="8">
        <f t="shared" si="1"/>
        <v>402.178</v>
      </c>
      <c r="I19" t="s">
        <v>142</v>
      </c>
    </row>
    <row r="20" spans="1:9">
      <c r="A20" s="6" t="s">
        <v>22</v>
      </c>
      <c r="B20" s="6" t="s">
        <v>50</v>
      </c>
      <c r="C20" s="6" t="s">
        <v>39</v>
      </c>
      <c r="D20" s="6">
        <v>1</v>
      </c>
      <c r="E20" s="7" t="str">
        <f t="shared" si="0"/>
        <v>spark_extract_clean_load</v>
      </c>
      <c r="F20" s="8">
        <f>SUMIFS('Raw Scenario Times'!$G$2:$G$47,'Raw Scenario Times'!$B$2:$B$47,$A20,'Raw Scenario Times'!$C$2:$C$47,$B20,'Raw Scenario Times'!$D$2:$D$47,$C20,'Raw Scenario Times'!$E$2:$E$47,$D20,'Raw Scenario Times'!$F$2:$F$47,$E20)</f>
        <v>157.35300000000001</v>
      </c>
      <c r="G20" s="8">
        <f>IF($B20="ETL",0,SUMIFS('Raw Scenario Times'!$G$2:$G$47,'Raw Scenario Times'!$B$2:$B$47,$A20,'Raw Scenario Times'!$C$2:$C$47,$B20,'Raw Scenario Times'!$D$2:$D$47,$C20,'Raw Scenario Times'!$E$2:$E$47,$D20,'Raw Scenario Times'!$F$2:$F$47,"dbt_transform"))</f>
        <v>61.018999999999998</v>
      </c>
      <c r="H20" s="8">
        <f t="shared" si="1"/>
        <v>218.37200000000001</v>
      </c>
      <c r="I20" t="s">
        <v>142</v>
      </c>
    </row>
    <row r="21" spans="1:9">
      <c r="A21" s="6" t="s">
        <v>22</v>
      </c>
      <c r="B21" s="6" t="s">
        <v>50</v>
      </c>
      <c r="C21" s="6" t="s">
        <v>39</v>
      </c>
      <c r="D21" s="6">
        <v>2</v>
      </c>
      <c r="E21" s="7" t="str">
        <f t="shared" si="0"/>
        <v>spark_extract_clean_load</v>
      </c>
      <c r="F21" s="8">
        <f>SUMIFS('Raw Scenario Times'!$G$2:$G$47,'Raw Scenario Times'!$B$2:$B$47,$A21,'Raw Scenario Times'!$C$2:$C$47,$B21,'Raw Scenario Times'!$D$2:$D$47,$C21,'Raw Scenario Times'!$E$2:$E$47,$D21,'Raw Scenario Times'!$F$2:$F$47,$E21)</f>
        <v>128.727</v>
      </c>
      <c r="G21" s="8">
        <f>IF($B21="ETL",0,SUMIFS('Raw Scenario Times'!$G$2:$G$47,'Raw Scenario Times'!$B$2:$B$47,$A21,'Raw Scenario Times'!$C$2:$C$47,$B21,'Raw Scenario Times'!$D$2:$D$47,$C21,'Raw Scenario Times'!$E$2:$E$47,$D21,'Raw Scenario Times'!$F$2:$F$47,"dbt_transform"))</f>
        <v>55.598999999999997</v>
      </c>
      <c r="H21" s="8">
        <f t="shared" si="1"/>
        <v>184.32599999999999</v>
      </c>
      <c r="I21" t="s">
        <v>142</v>
      </c>
    </row>
    <row r="22" spans="1:9">
      <c r="A22" s="6" t="s">
        <v>22</v>
      </c>
      <c r="B22" s="6" t="s">
        <v>50</v>
      </c>
      <c r="C22" s="6" t="s">
        <v>39</v>
      </c>
      <c r="D22" s="6">
        <v>3</v>
      </c>
      <c r="E22" s="7" t="str">
        <f t="shared" si="0"/>
        <v>spark_extract_clean_load</v>
      </c>
      <c r="F22" s="8">
        <f>SUMIFS('Raw Scenario Times'!$G$2:$G$47,'Raw Scenario Times'!$B$2:$B$47,$A22,'Raw Scenario Times'!$C$2:$C$47,$B22,'Raw Scenario Times'!$D$2:$D$47,$C22,'Raw Scenario Times'!$E$2:$E$47,$D22,'Raw Scenario Times'!$F$2:$F$47,$E22)</f>
        <v>121.504</v>
      </c>
      <c r="G22" s="8">
        <f>IF($B22="ETL",0,SUMIFS('Raw Scenario Times'!$G$2:$G$47,'Raw Scenario Times'!$B$2:$B$47,$A22,'Raw Scenario Times'!$C$2:$C$47,$B22,'Raw Scenario Times'!$D$2:$D$47,$C22,'Raw Scenario Times'!$E$2:$E$47,$D22,'Raw Scenario Times'!$F$2:$F$47,"dbt_transform"))</f>
        <v>55.353000000000002</v>
      </c>
      <c r="H22" s="8">
        <f t="shared" si="1"/>
        <v>176.857</v>
      </c>
      <c r="I22" t="s">
        <v>142</v>
      </c>
    </row>
    <row r="23" spans="1:9">
      <c r="A23" s="6" t="s">
        <v>22</v>
      </c>
      <c r="B23" s="6" t="s">
        <v>50</v>
      </c>
      <c r="C23" s="6" t="s">
        <v>56</v>
      </c>
      <c r="D23" s="6">
        <v>1</v>
      </c>
      <c r="E23" s="7" t="str">
        <f t="shared" si="0"/>
        <v>spark_extract_clean_load</v>
      </c>
      <c r="F23" s="8">
        <f>SUMIFS('Raw Scenario Times'!$G$2:$G$47,'Raw Scenario Times'!$B$2:$B$47,$A23,'Raw Scenario Times'!$C$2:$C$47,$B23,'Raw Scenario Times'!$D$2:$D$47,$C23,'Raw Scenario Times'!$E$2:$E$47,$D23,'Raw Scenario Times'!$F$2:$F$47,$E23)</f>
        <v>157.614</v>
      </c>
      <c r="G23" s="8">
        <f>IF($B23="ETL",0,SUMIFS('Raw Scenario Times'!$G$2:$G$47,'Raw Scenario Times'!$B$2:$B$47,$A23,'Raw Scenario Times'!$C$2:$C$47,$B23,'Raw Scenario Times'!$D$2:$D$47,$C23,'Raw Scenario Times'!$E$2:$E$47,$D23,'Raw Scenario Times'!$F$2:$F$47,"dbt_transform"))</f>
        <v>51.423999999999999</v>
      </c>
      <c r="H23" s="8">
        <f t="shared" si="1"/>
        <v>209.03800000000001</v>
      </c>
      <c r="I23" t="s">
        <v>142</v>
      </c>
    </row>
    <row r="24" spans="1:9">
      <c r="A24" s="6" t="s">
        <v>22</v>
      </c>
      <c r="B24" s="6" t="s">
        <v>50</v>
      </c>
      <c r="C24" s="6" t="s">
        <v>56</v>
      </c>
      <c r="D24" s="6">
        <v>2</v>
      </c>
      <c r="E24" s="7" t="str">
        <f t="shared" si="0"/>
        <v>spark_extract_clean_load</v>
      </c>
      <c r="F24" s="8">
        <f>SUMIFS('Raw Scenario Times'!$G$2:$G$47,'Raw Scenario Times'!$B$2:$B$47,$A24,'Raw Scenario Times'!$C$2:$C$47,$B24,'Raw Scenario Times'!$D$2:$D$47,$C24,'Raw Scenario Times'!$E$2:$E$47,$D24,'Raw Scenario Times'!$F$2:$F$47,$E24)</f>
        <v>155.696</v>
      </c>
      <c r="G24" s="8">
        <f>IF($B24="ETL",0,SUMIFS('Raw Scenario Times'!$G$2:$G$47,'Raw Scenario Times'!$B$2:$B$47,$A24,'Raw Scenario Times'!$C$2:$C$47,$B24,'Raw Scenario Times'!$D$2:$D$47,$C24,'Raw Scenario Times'!$E$2:$E$47,$D24,'Raw Scenario Times'!$F$2:$F$47,"dbt_transform"))</f>
        <v>50.156999999999996</v>
      </c>
      <c r="H24" s="8">
        <f t="shared" si="1"/>
        <v>205.85300000000001</v>
      </c>
      <c r="I24" t="s">
        <v>142</v>
      </c>
    </row>
    <row r="25" spans="1:9">
      <c r="A25" s="6" t="s">
        <v>22</v>
      </c>
      <c r="B25" s="6" t="s">
        <v>50</v>
      </c>
      <c r="C25" s="6" t="s">
        <v>56</v>
      </c>
      <c r="D25" s="6">
        <v>3</v>
      </c>
      <c r="E25" s="7" t="str">
        <f t="shared" si="0"/>
        <v>spark_extract_clean_load</v>
      </c>
      <c r="F25" s="8">
        <f>SUMIFS('Raw Scenario Times'!$G$2:$G$47,'Raw Scenario Times'!$B$2:$B$47,$A25,'Raw Scenario Times'!$C$2:$C$47,$B25,'Raw Scenario Times'!$D$2:$D$47,$C25,'Raw Scenario Times'!$E$2:$E$47,$D25,'Raw Scenario Times'!$F$2:$F$47,$E25)</f>
        <v>151.13999999999999</v>
      </c>
      <c r="G25" s="8">
        <f>IF($B25="ETL",0,SUMIFS('Raw Scenario Times'!$G$2:$G$47,'Raw Scenario Times'!$B$2:$B$47,$A25,'Raw Scenario Times'!$C$2:$C$47,$B25,'Raw Scenario Times'!$D$2:$D$47,$C25,'Raw Scenario Times'!$E$2:$E$47,$D25,'Raw Scenario Times'!$F$2:$F$47,"dbt_transform"))</f>
        <v>55.280999999999999</v>
      </c>
      <c r="H25" s="8">
        <f t="shared" si="1"/>
        <v>206.42099999999999</v>
      </c>
      <c r="I25" t="s">
        <v>142</v>
      </c>
    </row>
    <row r="26" spans="1:9">
      <c r="A26" s="6" t="s">
        <v>22</v>
      </c>
      <c r="B26" s="6" t="s">
        <v>50</v>
      </c>
      <c r="C26" s="6" t="s">
        <v>67</v>
      </c>
      <c r="D26" s="6">
        <v>1</v>
      </c>
      <c r="E26" s="7" t="str">
        <f t="shared" si="0"/>
        <v>spark_extract_clean_load</v>
      </c>
      <c r="F26" s="8">
        <f>SUMIFS('Raw Scenario Times'!$G$2:$G$47,'Raw Scenario Times'!$B$2:$B$47,$A26,'Raw Scenario Times'!$C$2:$C$47,$B26,'Raw Scenario Times'!$D$2:$D$47,$C26,'Raw Scenario Times'!$E$2:$E$47,$D26,'Raw Scenario Times'!$F$2:$F$47,$E26)</f>
        <v>108.456</v>
      </c>
      <c r="G26" s="8">
        <f>IF($B26="ETL",0,SUMIFS('Raw Scenario Times'!$G$2:$G$47,'Raw Scenario Times'!$B$2:$B$47,$A26,'Raw Scenario Times'!$C$2:$C$47,$B26,'Raw Scenario Times'!$D$2:$D$47,$C26,'Raw Scenario Times'!$E$2:$E$47,$D26,'Raw Scenario Times'!$F$2:$F$47,"dbt_transform"))</f>
        <v>48.881</v>
      </c>
      <c r="H26" s="8">
        <f t="shared" si="1"/>
        <v>157.33699999999999</v>
      </c>
      <c r="I26" t="s">
        <v>142</v>
      </c>
    </row>
    <row r="27" spans="1:9">
      <c r="A27" s="6" t="s">
        <v>22</v>
      </c>
      <c r="B27" s="6" t="s">
        <v>50</v>
      </c>
      <c r="C27" s="6" t="s">
        <v>67</v>
      </c>
      <c r="D27" s="6">
        <v>2</v>
      </c>
      <c r="E27" s="7" t="str">
        <f t="shared" si="0"/>
        <v>spark_extract_clean_load</v>
      </c>
      <c r="F27" s="8">
        <f>SUMIFS('Raw Scenario Times'!$G$2:$G$47,'Raw Scenario Times'!$B$2:$B$47,$A27,'Raw Scenario Times'!$C$2:$C$47,$B27,'Raw Scenario Times'!$D$2:$D$47,$C27,'Raw Scenario Times'!$E$2:$E$47,$D27,'Raw Scenario Times'!$F$2:$F$47,$E27)</f>
        <v>92.710999999999999</v>
      </c>
      <c r="G27" s="8">
        <f>IF($B27="ETL",0,SUMIFS('Raw Scenario Times'!$G$2:$G$47,'Raw Scenario Times'!$B$2:$B$47,$A27,'Raw Scenario Times'!$C$2:$C$47,$B27,'Raw Scenario Times'!$D$2:$D$47,$C27,'Raw Scenario Times'!$E$2:$E$47,$D27,'Raw Scenario Times'!$F$2:$F$47,"dbt_transform"))</f>
        <v>52.595999999999997</v>
      </c>
      <c r="H27" s="8">
        <f t="shared" si="1"/>
        <v>145.30699999999999</v>
      </c>
      <c r="I27" t="s">
        <v>142</v>
      </c>
    </row>
    <row r="28" spans="1:9">
      <c r="A28" s="6" t="s">
        <v>22</v>
      </c>
      <c r="B28" s="6" t="s">
        <v>50</v>
      </c>
      <c r="C28" s="6" t="s">
        <v>67</v>
      </c>
      <c r="D28" s="6">
        <v>3</v>
      </c>
      <c r="E28" s="7" t="str">
        <f t="shared" si="0"/>
        <v>spark_extract_clean_load</v>
      </c>
      <c r="F28" s="8">
        <f>SUMIFS('Raw Scenario Times'!$G$2:$G$47,'Raw Scenario Times'!$B$2:$B$47,$A28,'Raw Scenario Times'!$C$2:$C$47,$B28,'Raw Scenario Times'!$D$2:$D$47,$C28,'Raw Scenario Times'!$E$2:$E$47,$D28,'Raw Scenario Times'!$F$2:$F$47,$E28)</f>
        <v>88.64</v>
      </c>
      <c r="G28" s="8">
        <f>IF($B28="ETL",0,SUMIFS('Raw Scenario Times'!$G$2:$G$47,'Raw Scenario Times'!$B$2:$B$47,$A28,'Raw Scenario Times'!$C$2:$C$47,$B28,'Raw Scenario Times'!$D$2:$D$47,$C28,'Raw Scenario Times'!$E$2:$E$47,$D28,'Raw Scenario Times'!$F$2:$F$47,"dbt_transform"))</f>
        <v>57.524000000000001</v>
      </c>
      <c r="H28" s="8">
        <f t="shared" si="1"/>
        <v>146.16399999999999</v>
      </c>
      <c r="I28" t="s">
        <v>142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activeCell="D2" sqref="D2"/>
    </sheetView>
  </sheetViews>
  <sheetFormatPr defaultRowHeight="13.8"/>
  <cols>
    <col min="1" max="7" width="14" customWidth="1"/>
    <col min="8" max="8" width="14" hidden="1" customWidth="1"/>
    <col min="9" max="10" width="14" customWidth="1"/>
    <col min="11" max="11" width="64" hidden="1" customWidth="1"/>
  </cols>
  <sheetData>
    <row r="1" spans="1:11">
      <c r="A1" s="3" t="s">
        <v>25</v>
      </c>
      <c r="B1" s="3" t="s">
        <v>26</v>
      </c>
      <c r="C1" s="3" t="s">
        <v>143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</row>
    <row r="2" spans="1:11">
      <c r="A2" s="6" t="s">
        <v>38</v>
      </c>
      <c r="B2" s="6" t="s">
        <v>39</v>
      </c>
      <c r="C2" s="8">
        <f>SUMIFS('Run Totals'!$H$2:$H$28,'Run Totals'!$B$2:$B$28,$A2,'Run Totals'!$C$2:$C$28,$B2,'Run Totals'!$D$2:$D$28,1)</f>
        <v>30.41</v>
      </c>
      <c r="D2" s="8">
        <f>SUMIFS('Run Totals'!$H$2:$H$28,'Run Totals'!$B$2:$B$28,$A2,'Run Totals'!$C$2:$C$28,$B2,'Run Totals'!$D$2:$D$28,2)</f>
        <v>34.152999999999999</v>
      </c>
      <c r="E2" s="8">
        <f>SUMIFS('Run Totals'!$H$2:$H$28,'Run Totals'!$B$2:$B$28,$A2,'Run Totals'!$C$2:$C$28,$B2,'Run Totals'!$D$2:$D$28,3)</f>
        <v>32.920999999999999</v>
      </c>
      <c r="F2" s="9">
        <f t="shared" ref="F2:F10" si="0">COUNT(C2:E2)</f>
        <v>3</v>
      </c>
      <c r="G2" s="8">
        <f t="shared" ref="G2:G10" si="1">AVERAGE(C2:E2)</f>
        <v>32.494666666666667</v>
      </c>
      <c r="H2" s="8" t="e">
        <f t="shared" ref="H2:H10" ca="1" si="2">_xludf.STDEV.S(C2:E2)</f>
        <v>#NAME?</v>
      </c>
      <c r="I2" s="8">
        <f t="shared" ref="I2:I10" si="3">MIN(C2:E2)</f>
        <v>30.41</v>
      </c>
      <c r="J2" s="8">
        <f t="shared" ref="J2:J10" si="4">MAX(C2:E2)</f>
        <v>34.152999999999999</v>
      </c>
      <c r="K2" t="s">
        <v>152</v>
      </c>
    </row>
    <row r="3" spans="1:11">
      <c r="A3" s="6" t="s">
        <v>38</v>
      </c>
      <c r="B3" s="6" t="s">
        <v>56</v>
      </c>
      <c r="C3" s="8">
        <f>SUMIFS('Run Totals'!$H$2:$H$28,'Run Totals'!$B$2:$B$28,$A3,'Run Totals'!$C$2:$C$28,$B3,'Run Totals'!$D$2:$D$28,1)</f>
        <v>62.078000000000003</v>
      </c>
      <c r="D3" s="8">
        <f>SUMIFS('Run Totals'!$H$2:$H$28,'Run Totals'!$B$2:$B$28,$A3,'Run Totals'!$C$2:$C$28,$B3,'Run Totals'!$D$2:$D$28,2)</f>
        <v>54.920999999999999</v>
      </c>
      <c r="E3" s="8">
        <f>SUMIFS('Run Totals'!$H$2:$H$28,'Run Totals'!$B$2:$B$28,$A3,'Run Totals'!$C$2:$C$28,$B3,'Run Totals'!$D$2:$D$28,3)</f>
        <v>54.036000000000001</v>
      </c>
      <c r="F3" s="9">
        <f t="shared" si="0"/>
        <v>3</v>
      </c>
      <c r="G3" s="8">
        <f t="shared" si="1"/>
        <v>57.011666666666663</v>
      </c>
      <c r="H3" s="8" t="e">
        <f t="shared" ca="1" si="2"/>
        <v>#NAME?</v>
      </c>
      <c r="I3" s="8">
        <f t="shared" si="3"/>
        <v>54.036000000000001</v>
      </c>
      <c r="J3" s="8">
        <f t="shared" si="4"/>
        <v>62.078000000000003</v>
      </c>
      <c r="K3" t="s">
        <v>152</v>
      </c>
    </row>
    <row r="4" spans="1:11">
      <c r="A4" s="6" t="s">
        <v>38</v>
      </c>
      <c r="B4" s="6" t="s">
        <v>67</v>
      </c>
      <c r="C4" s="8">
        <f>SUMIFS('Run Totals'!$H$2:$H$28,'Run Totals'!$B$2:$B$28,$A4,'Run Totals'!$C$2:$C$28,$B4,'Run Totals'!$D$2:$D$28,1)</f>
        <v>11.795999999999999</v>
      </c>
      <c r="D4" s="8">
        <f>SUMIFS('Run Totals'!$H$2:$H$28,'Run Totals'!$B$2:$B$28,$A4,'Run Totals'!$C$2:$C$28,$B4,'Run Totals'!$D$2:$D$28,2)</f>
        <v>13.276</v>
      </c>
      <c r="E4" s="8">
        <f>SUMIFS('Run Totals'!$H$2:$H$28,'Run Totals'!$B$2:$B$28,$A4,'Run Totals'!$C$2:$C$28,$B4,'Run Totals'!$D$2:$D$28,3)</f>
        <v>13.366</v>
      </c>
      <c r="F4" s="9">
        <f t="shared" si="0"/>
        <v>3</v>
      </c>
      <c r="G4" s="8">
        <f t="shared" si="1"/>
        <v>12.812666666666667</v>
      </c>
      <c r="H4" s="8" t="e">
        <f t="shared" ca="1" si="2"/>
        <v>#NAME?</v>
      </c>
      <c r="I4" s="8">
        <f t="shared" si="3"/>
        <v>11.795999999999999</v>
      </c>
      <c r="J4" s="8">
        <f t="shared" si="4"/>
        <v>13.366</v>
      </c>
      <c r="K4" t="s">
        <v>152</v>
      </c>
    </row>
    <row r="5" spans="1:11">
      <c r="A5" s="6" t="s">
        <v>43</v>
      </c>
      <c r="B5" s="6" t="s">
        <v>39</v>
      </c>
      <c r="C5" s="8">
        <f>SUMIFS('Run Totals'!$H$2:$H$28,'Run Totals'!$B$2:$B$28,$A5,'Run Totals'!$C$2:$C$28,$B5,'Run Totals'!$D$2:$D$28,1)</f>
        <v>398.303</v>
      </c>
      <c r="D5" s="8">
        <f>SUMIFS('Run Totals'!$H$2:$H$28,'Run Totals'!$B$2:$B$28,$A5,'Run Totals'!$C$2:$C$28,$B5,'Run Totals'!$D$2:$D$28,2)</f>
        <v>382.92700000000002</v>
      </c>
      <c r="E5" s="8">
        <f>SUMIFS('Run Totals'!$H$2:$H$28,'Run Totals'!$B$2:$B$28,$A5,'Run Totals'!$C$2:$C$28,$B5,'Run Totals'!$D$2:$D$28,3)</f>
        <v>443.53700000000003</v>
      </c>
      <c r="F5" s="9">
        <f t="shared" si="0"/>
        <v>3</v>
      </c>
      <c r="G5" s="8">
        <f t="shared" si="1"/>
        <v>408.25566666666668</v>
      </c>
      <c r="H5" s="8" t="e">
        <f t="shared" ca="1" si="2"/>
        <v>#NAME?</v>
      </c>
      <c r="I5" s="8">
        <f t="shared" si="3"/>
        <v>382.92700000000002</v>
      </c>
      <c r="J5" s="8">
        <f t="shared" si="4"/>
        <v>443.53700000000003</v>
      </c>
      <c r="K5" t="s">
        <v>152</v>
      </c>
    </row>
    <row r="6" spans="1:11">
      <c r="A6" s="6" t="s">
        <v>43</v>
      </c>
      <c r="B6" s="6" t="s">
        <v>56</v>
      </c>
      <c r="C6" s="8">
        <f>SUMIFS('Run Totals'!$H$2:$H$28,'Run Totals'!$B$2:$B$28,$A6,'Run Totals'!$C$2:$C$28,$B6,'Run Totals'!$D$2:$D$28,1)</f>
        <v>447.17200000000003</v>
      </c>
      <c r="D6" s="8">
        <f>SUMIFS('Run Totals'!$H$2:$H$28,'Run Totals'!$B$2:$B$28,$A6,'Run Totals'!$C$2:$C$28,$B6,'Run Totals'!$D$2:$D$28,2)</f>
        <v>473.69000000000005</v>
      </c>
      <c r="E6" s="8">
        <f>SUMIFS('Run Totals'!$H$2:$H$28,'Run Totals'!$B$2:$B$28,$A6,'Run Totals'!$C$2:$C$28,$B6,'Run Totals'!$D$2:$D$28,3)</f>
        <v>434.77699999999999</v>
      </c>
      <c r="F6" s="9">
        <f t="shared" si="0"/>
        <v>3</v>
      </c>
      <c r="G6" s="8">
        <f t="shared" si="1"/>
        <v>451.87966666666671</v>
      </c>
      <c r="H6" s="8" t="e">
        <f t="shared" ca="1" si="2"/>
        <v>#NAME?</v>
      </c>
      <c r="I6" s="8">
        <f t="shared" si="3"/>
        <v>434.77699999999999</v>
      </c>
      <c r="J6" s="8">
        <f t="shared" si="4"/>
        <v>473.69000000000005</v>
      </c>
      <c r="K6" t="s">
        <v>152</v>
      </c>
    </row>
    <row r="7" spans="1:11">
      <c r="A7" s="6" t="s">
        <v>43</v>
      </c>
      <c r="B7" s="6" t="s">
        <v>67</v>
      </c>
      <c r="C7" s="8">
        <f>SUMIFS('Run Totals'!$H$2:$H$28,'Run Totals'!$B$2:$B$28,$A7,'Run Totals'!$C$2:$C$28,$B7,'Run Totals'!$D$2:$D$28,1)</f>
        <v>353.58000000000004</v>
      </c>
      <c r="D7" s="8">
        <f>SUMIFS('Run Totals'!$H$2:$H$28,'Run Totals'!$B$2:$B$28,$A7,'Run Totals'!$C$2:$C$28,$B7,'Run Totals'!$D$2:$D$28,2)</f>
        <v>391.24299999999999</v>
      </c>
      <c r="E7" s="8">
        <f>SUMIFS('Run Totals'!$H$2:$H$28,'Run Totals'!$B$2:$B$28,$A7,'Run Totals'!$C$2:$C$28,$B7,'Run Totals'!$D$2:$D$28,3)</f>
        <v>402.178</v>
      </c>
      <c r="F7" s="9">
        <f t="shared" si="0"/>
        <v>3</v>
      </c>
      <c r="G7" s="8">
        <f t="shared" si="1"/>
        <v>382.33366666666672</v>
      </c>
      <c r="H7" s="8" t="e">
        <f t="shared" ca="1" si="2"/>
        <v>#NAME?</v>
      </c>
      <c r="I7" s="8">
        <f t="shared" si="3"/>
        <v>353.58000000000004</v>
      </c>
      <c r="J7" s="8">
        <f t="shared" si="4"/>
        <v>402.178</v>
      </c>
      <c r="K7" t="s">
        <v>152</v>
      </c>
    </row>
    <row r="8" spans="1:11">
      <c r="A8" s="6" t="s">
        <v>50</v>
      </c>
      <c r="B8" s="6" t="s">
        <v>39</v>
      </c>
      <c r="C8" s="8">
        <f>SUMIFS('Run Totals'!$H$2:$H$28,'Run Totals'!$B$2:$B$28,$A8,'Run Totals'!$C$2:$C$28,$B8,'Run Totals'!$D$2:$D$28,1)</f>
        <v>218.37200000000001</v>
      </c>
      <c r="D8" s="8">
        <f>SUMIFS('Run Totals'!$H$2:$H$28,'Run Totals'!$B$2:$B$28,$A8,'Run Totals'!$C$2:$C$28,$B8,'Run Totals'!$D$2:$D$28,2)</f>
        <v>184.32599999999999</v>
      </c>
      <c r="E8" s="8">
        <f>SUMIFS('Run Totals'!$H$2:$H$28,'Run Totals'!$B$2:$B$28,$A8,'Run Totals'!$C$2:$C$28,$B8,'Run Totals'!$D$2:$D$28,3)</f>
        <v>176.857</v>
      </c>
      <c r="F8" s="9">
        <f t="shared" si="0"/>
        <v>3</v>
      </c>
      <c r="G8" s="8">
        <f t="shared" si="1"/>
        <v>193.18499999999997</v>
      </c>
      <c r="H8" s="8" t="e">
        <f t="shared" ca="1" si="2"/>
        <v>#NAME?</v>
      </c>
      <c r="I8" s="8">
        <f t="shared" si="3"/>
        <v>176.857</v>
      </c>
      <c r="J8" s="8">
        <f t="shared" si="4"/>
        <v>218.37200000000001</v>
      </c>
      <c r="K8" t="s">
        <v>152</v>
      </c>
    </row>
    <row r="9" spans="1:11">
      <c r="A9" s="6" t="s">
        <v>50</v>
      </c>
      <c r="B9" s="6" t="s">
        <v>56</v>
      </c>
      <c r="C9" s="8">
        <f>SUMIFS('Run Totals'!$H$2:$H$28,'Run Totals'!$B$2:$B$28,$A9,'Run Totals'!$C$2:$C$28,$B9,'Run Totals'!$D$2:$D$28,1)</f>
        <v>209.03800000000001</v>
      </c>
      <c r="D9" s="8">
        <f>SUMIFS('Run Totals'!$H$2:$H$28,'Run Totals'!$B$2:$B$28,$A9,'Run Totals'!$C$2:$C$28,$B9,'Run Totals'!$D$2:$D$28,2)</f>
        <v>205.85300000000001</v>
      </c>
      <c r="E9" s="8">
        <f>SUMIFS('Run Totals'!$H$2:$H$28,'Run Totals'!$B$2:$B$28,$A9,'Run Totals'!$C$2:$C$28,$B9,'Run Totals'!$D$2:$D$28,3)</f>
        <v>206.42099999999999</v>
      </c>
      <c r="F9" s="9">
        <f t="shared" si="0"/>
        <v>3</v>
      </c>
      <c r="G9" s="8">
        <f t="shared" si="1"/>
        <v>207.10400000000001</v>
      </c>
      <c r="H9" s="8" t="e">
        <f t="shared" ca="1" si="2"/>
        <v>#NAME?</v>
      </c>
      <c r="I9" s="8">
        <f t="shared" si="3"/>
        <v>205.85300000000001</v>
      </c>
      <c r="J9" s="8">
        <f t="shared" si="4"/>
        <v>209.03800000000001</v>
      </c>
      <c r="K9" t="s">
        <v>152</v>
      </c>
    </row>
    <row r="10" spans="1:11">
      <c r="A10" s="6" t="s">
        <v>50</v>
      </c>
      <c r="B10" s="6" t="s">
        <v>67</v>
      </c>
      <c r="C10" s="8">
        <f>SUMIFS('Run Totals'!$H$2:$H$28,'Run Totals'!$B$2:$B$28,$A10,'Run Totals'!$C$2:$C$28,$B10,'Run Totals'!$D$2:$D$28,1)</f>
        <v>157.33699999999999</v>
      </c>
      <c r="D10" s="8">
        <f>SUMIFS('Run Totals'!$H$2:$H$28,'Run Totals'!$B$2:$B$28,$A10,'Run Totals'!$C$2:$C$28,$B10,'Run Totals'!$D$2:$D$28,2)</f>
        <v>145.30699999999999</v>
      </c>
      <c r="E10" s="8">
        <f>SUMIFS('Run Totals'!$H$2:$H$28,'Run Totals'!$B$2:$B$28,$A10,'Run Totals'!$C$2:$C$28,$B10,'Run Totals'!$D$2:$D$28,3)</f>
        <v>146.16399999999999</v>
      </c>
      <c r="F10" s="9">
        <f t="shared" si="0"/>
        <v>3</v>
      </c>
      <c r="G10" s="8">
        <f t="shared" si="1"/>
        <v>149.60266666666666</v>
      </c>
      <c r="H10" s="8" t="e">
        <f t="shared" ca="1" si="2"/>
        <v>#NAME?</v>
      </c>
      <c r="I10" s="8">
        <f t="shared" si="3"/>
        <v>145.30699999999999</v>
      </c>
      <c r="J10" s="8">
        <f t="shared" si="4"/>
        <v>157.33699999999999</v>
      </c>
      <c r="K10" t="s">
        <v>152</v>
      </c>
    </row>
  </sheetData>
  <conditionalFormatting sqref="G2:G10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selection activeCell="E2" sqref="E2"/>
    </sheetView>
  </sheetViews>
  <sheetFormatPr defaultRowHeight="13.8"/>
  <cols>
    <col min="1" max="3" width="20" customWidth="1"/>
    <col min="4" max="8" width="12" customWidth="1"/>
    <col min="9" max="9" width="12" hidden="1" customWidth="1"/>
    <col min="10" max="11" width="12" customWidth="1"/>
    <col min="12" max="12" width="58" hidden="1" customWidth="1"/>
  </cols>
  <sheetData>
    <row r="1" spans="1:12">
      <c r="A1" s="3" t="s">
        <v>25</v>
      </c>
      <c r="B1" s="3" t="s">
        <v>26</v>
      </c>
      <c r="C1" s="3" t="s">
        <v>28</v>
      </c>
      <c r="D1" s="3" t="s">
        <v>153</v>
      </c>
      <c r="E1" s="3" t="s">
        <v>154</v>
      </c>
      <c r="F1" s="3" t="s">
        <v>155</v>
      </c>
      <c r="G1" s="3" t="s">
        <v>146</v>
      </c>
      <c r="H1" s="3" t="s">
        <v>147</v>
      </c>
      <c r="I1" s="3" t="s">
        <v>148</v>
      </c>
      <c r="J1" s="3" t="s">
        <v>149</v>
      </c>
      <c r="K1" s="3" t="s">
        <v>150</v>
      </c>
      <c r="L1" s="3" t="s">
        <v>156</v>
      </c>
    </row>
    <row r="2" spans="1:12">
      <c r="A2" s="6" t="s">
        <v>38</v>
      </c>
      <c r="B2" s="6" t="s">
        <v>39</v>
      </c>
      <c r="C2" s="6" t="s">
        <v>40</v>
      </c>
      <c r="D2" s="8">
        <f>SUMIFS('Raw Scenario Times'!$G$2:$G$47,'Raw Scenario Times'!$C$2:$C$47,$A2,'Raw Scenario Times'!$D$2:$D$47,$B2,'Raw Scenario Times'!$F$2:$F$47,$C2,'Raw Scenario Times'!$E$2:$E$47,1)</f>
        <v>30.41</v>
      </c>
      <c r="E2" s="8">
        <f>SUMIFS('Raw Scenario Times'!$G$2:$G$47,'Raw Scenario Times'!$C$2:$C$47,$A2,'Raw Scenario Times'!$D$2:$D$47,$B2,'Raw Scenario Times'!$F$2:$F$47,$C2,'Raw Scenario Times'!$E$2:$E$47,2)</f>
        <v>34.152999999999999</v>
      </c>
      <c r="F2" s="8">
        <f>SUMIFS('Raw Scenario Times'!$G$2:$G$47,'Raw Scenario Times'!$C$2:$C$47,$A2,'Raw Scenario Times'!$D$2:$D$47,$B2,'Raw Scenario Times'!$F$2:$F$47,$C2,'Raw Scenario Times'!$E$2:$E$47,3)</f>
        <v>32.920999999999999</v>
      </c>
      <c r="G2" s="9">
        <f t="shared" ref="G2:G16" si="0">COUNT(D2:F2)</f>
        <v>3</v>
      </c>
      <c r="H2" s="8">
        <f t="shared" ref="H2:H16" si="1">AVERAGE(D2:F2)</f>
        <v>32.494666666666667</v>
      </c>
      <c r="I2" s="8" t="e">
        <f t="shared" ref="I2:I16" ca="1" si="2">_xludf.STDEV.S(D2:F2)</f>
        <v>#NAME?</v>
      </c>
      <c r="J2" s="8">
        <f t="shared" ref="J2:J16" si="3">MIN(D2:F2)</f>
        <v>30.41</v>
      </c>
      <c r="K2" s="8">
        <f t="shared" ref="K2:K16" si="4">MAX(D2:F2)</f>
        <v>34.152999999999999</v>
      </c>
      <c r="L2" t="s">
        <v>157</v>
      </c>
    </row>
    <row r="3" spans="1:12">
      <c r="A3" s="6" t="s">
        <v>43</v>
      </c>
      <c r="B3" s="6" t="s">
        <v>39</v>
      </c>
      <c r="C3" s="6" t="s">
        <v>44</v>
      </c>
      <c r="D3" s="8">
        <f>SUMIFS('Raw Scenario Times'!$G$2:$G$47,'Raw Scenario Times'!$C$2:$C$47,$A3,'Raw Scenario Times'!$D$2:$D$47,$B3,'Raw Scenario Times'!$F$2:$F$47,$C3,'Raw Scenario Times'!$E$2:$E$47,1)</f>
        <v>275.82400000000001</v>
      </c>
      <c r="E3" s="8">
        <f>SUMIFS('Raw Scenario Times'!$G$2:$G$47,'Raw Scenario Times'!$C$2:$C$47,$A3,'Raw Scenario Times'!$D$2:$D$47,$B3,'Raw Scenario Times'!$F$2:$F$47,$C3,'Raw Scenario Times'!$E$2:$E$47,2)</f>
        <v>243.31800000000001</v>
      </c>
      <c r="F3" s="8">
        <f>SUMIFS('Raw Scenario Times'!$G$2:$G$47,'Raw Scenario Times'!$C$2:$C$47,$A3,'Raw Scenario Times'!$D$2:$D$47,$B3,'Raw Scenario Times'!$F$2:$F$47,$C3,'Raw Scenario Times'!$E$2:$E$47,3)</f>
        <v>260.17700000000002</v>
      </c>
      <c r="G3" s="9">
        <f t="shared" si="0"/>
        <v>3</v>
      </c>
      <c r="H3" s="8">
        <f t="shared" si="1"/>
        <v>259.77300000000002</v>
      </c>
      <c r="I3" s="8" t="e">
        <f t="shared" ca="1" si="2"/>
        <v>#NAME?</v>
      </c>
      <c r="J3" s="8">
        <f t="shared" si="3"/>
        <v>243.31800000000001</v>
      </c>
      <c r="K3" s="8">
        <f t="shared" si="4"/>
        <v>275.82400000000001</v>
      </c>
      <c r="L3" t="s">
        <v>157</v>
      </c>
    </row>
    <row r="4" spans="1:12">
      <c r="A4" s="6" t="s">
        <v>43</v>
      </c>
      <c r="B4" s="6" t="s">
        <v>39</v>
      </c>
      <c r="C4" s="6" t="s">
        <v>47</v>
      </c>
      <c r="D4" s="8">
        <f>SUMIFS('Raw Scenario Times'!$G$2:$G$47,'Raw Scenario Times'!$C$2:$C$47,$A4,'Raw Scenario Times'!$D$2:$D$47,$B4,'Raw Scenario Times'!$F$2:$F$47,$C4,'Raw Scenario Times'!$E$2:$E$47,1)</f>
        <v>122.479</v>
      </c>
      <c r="E4" s="8">
        <f>SUMIFS('Raw Scenario Times'!$G$2:$G$47,'Raw Scenario Times'!$C$2:$C$47,$A4,'Raw Scenario Times'!$D$2:$D$47,$B4,'Raw Scenario Times'!$F$2:$F$47,$C4,'Raw Scenario Times'!$E$2:$E$47,2)</f>
        <v>139.60900000000001</v>
      </c>
      <c r="F4" s="8">
        <f>SUMIFS('Raw Scenario Times'!$G$2:$G$47,'Raw Scenario Times'!$C$2:$C$47,$A4,'Raw Scenario Times'!$D$2:$D$47,$B4,'Raw Scenario Times'!$F$2:$F$47,$C4,'Raw Scenario Times'!$E$2:$E$47,3)</f>
        <v>183.36</v>
      </c>
      <c r="G4" s="9">
        <f t="shared" si="0"/>
        <v>3</v>
      </c>
      <c r="H4" s="8">
        <f t="shared" si="1"/>
        <v>148.48266666666669</v>
      </c>
      <c r="I4" s="8" t="e">
        <f t="shared" ca="1" si="2"/>
        <v>#NAME?</v>
      </c>
      <c r="J4" s="8">
        <f t="shared" si="3"/>
        <v>122.479</v>
      </c>
      <c r="K4" s="8">
        <f t="shared" si="4"/>
        <v>183.36</v>
      </c>
      <c r="L4" t="s">
        <v>157</v>
      </c>
    </row>
    <row r="5" spans="1:12">
      <c r="A5" s="6" t="s">
        <v>50</v>
      </c>
      <c r="B5" s="6" t="s">
        <v>39</v>
      </c>
      <c r="C5" s="6" t="s">
        <v>51</v>
      </c>
      <c r="D5" s="8">
        <f>SUMIFS('Raw Scenario Times'!$G$2:$G$47,'Raw Scenario Times'!$C$2:$C$47,$A5,'Raw Scenario Times'!$D$2:$D$47,$B5,'Raw Scenario Times'!$F$2:$F$47,$C5,'Raw Scenario Times'!$E$2:$E$47,1)</f>
        <v>157.35300000000001</v>
      </c>
      <c r="E5" s="8">
        <f>SUMIFS('Raw Scenario Times'!$G$2:$G$47,'Raw Scenario Times'!$C$2:$C$47,$A5,'Raw Scenario Times'!$D$2:$D$47,$B5,'Raw Scenario Times'!$F$2:$F$47,$C5,'Raw Scenario Times'!$E$2:$E$47,2)</f>
        <v>128.727</v>
      </c>
      <c r="F5" s="8">
        <f>SUMIFS('Raw Scenario Times'!$G$2:$G$47,'Raw Scenario Times'!$C$2:$C$47,$A5,'Raw Scenario Times'!$D$2:$D$47,$B5,'Raw Scenario Times'!$F$2:$F$47,$C5,'Raw Scenario Times'!$E$2:$E$47,3)</f>
        <v>121.504</v>
      </c>
      <c r="G5" s="9">
        <f t="shared" si="0"/>
        <v>3</v>
      </c>
      <c r="H5" s="8">
        <f t="shared" si="1"/>
        <v>135.86133333333336</v>
      </c>
      <c r="I5" s="8" t="e">
        <f t="shared" ca="1" si="2"/>
        <v>#NAME?</v>
      </c>
      <c r="J5" s="8">
        <f t="shared" si="3"/>
        <v>121.504</v>
      </c>
      <c r="K5" s="8">
        <f t="shared" si="4"/>
        <v>157.35300000000001</v>
      </c>
      <c r="L5" t="s">
        <v>157</v>
      </c>
    </row>
    <row r="6" spans="1:12">
      <c r="A6" s="6" t="s">
        <v>50</v>
      </c>
      <c r="B6" s="6" t="s">
        <v>39</v>
      </c>
      <c r="C6" s="6" t="s">
        <v>47</v>
      </c>
      <c r="D6" s="8">
        <f>SUMIFS('Raw Scenario Times'!$G$2:$G$47,'Raw Scenario Times'!$C$2:$C$47,$A6,'Raw Scenario Times'!$D$2:$D$47,$B6,'Raw Scenario Times'!$F$2:$F$47,$C6,'Raw Scenario Times'!$E$2:$E$47,1)</f>
        <v>61.018999999999998</v>
      </c>
      <c r="E6" s="8">
        <f>SUMIFS('Raw Scenario Times'!$G$2:$G$47,'Raw Scenario Times'!$C$2:$C$47,$A6,'Raw Scenario Times'!$D$2:$D$47,$B6,'Raw Scenario Times'!$F$2:$F$47,$C6,'Raw Scenario Times'!$E$2:$E$47,2)</f>
        <v>55.598999999999997</v>
      </c>
      <c r="F6" s="8">
        <f>SUMIFS('Raw Scenario Times'!$G$2:$G$47,'Raw Scenario Times'!$C$2:$C$47,$A6,'Raw Scenario Times'!$D$2:$D$47,$B6,'Raw Scenario Times'!$F$2:$F$47,$C6,'Raw Scenario Times'!$E$2:$E$47,3)</f>
        <v>55.353000000000002</v>
      </c>
      <c r="G6" s="9">
        <f t="shared" si="0"/>
        <v>3</v>
      </c>
      <c r="H6" s="8">
        <f t="shared" si="1"/>
        <v>57.323666666666668</v>
      </c>
      <c r="I6" s="8" t="e">
        <f t="shared" ca="1" si="2"/>
        <v>#NAME?</v>
      </c>
      <c r="J6" s="8">
        <f t="shared" si="3"/>
        <v>55.353000000000002</v>
      </c>
      <c r="K6" s="8">
        <f t="shared" si="4"/>
        <v>61.018999999999998</v>
      </c>
      <c r="L6" t="s">
        <v>157</v>
      </c>
    </row>
    <row r="7" spans="1:12">
      <c r="A7" s="6" t="s">
        <v>38</v>
      </c>
      <c r="B7" s="6" t="s">
        <v>56</v>
      </c>
      <c r="C7" s="6" t="s">
        <v>40</v>
      </c>
      <c r="D7" s="8">
        <f>SUMIFS('Raw Scenario Times'!$G$2:$G$47,'Raw Scenario Times'!$C$2:$C$47,$A7,'Raw Scenario Times'!$D$2:$D$47,$B7,'Raw Scenario Times'!$F$2:$F$47,$C7,'Raw Scenario Times'!$E$2:$E$47,1)</f>
        <v>62.078000000000003</v>
      </c>
      <c r="E7" s="8">
        <f>SUMIFS('Raw Scenario Times'!$G$2:$G$47,'Raw Scenario Times'!$C$2:$C$47,$A7,'Raw Scenario Times'!$D$2:$D$47,$B7,'Raw Scenario Times'!$F$2:$F$47,$C7,'Raw Scenario Times'!$E$2:$E$47,2)</f>
        <v>54.920999999999999</v>
      </c>
      <c r="F7" s="8">
        <f>SUMIFS('Raw Scenario Times'!$G$2:$G$47,'Raw Scenario Times'!$C$2:$C$47,$A7,'Raw Scenario Times'!$D$2:$D$47,$B7,'Raw Scenario Times'!$F$2:$F$47,$C7,'Raw Scenario Times'!$E$2:$E$47,3)</f>
        <v>54.036000000000001</v>
      </c>
      <c r="G7" s="9">
        <f t="shared" si="0"/>
        <v>3</v>
      </c>
      <c r="H7" s="8">
        <f t="shared" si="1"/>
        <v>57.011666666666663</v>
      </c>
      <c r="I7" s="8" t="e">
        <f t="shared" ca="1" si="2"/>
        <v>#NAME?</v>
      </c>
      <c r="J7" s="8">
        <f t="shared" si="3"/>
        <v>54.036000000000001</v>
      </c>
      <c r="K7" s="8">
        <f t="shared" si="4"/>
        <v>62.078000000000003</v>
      </c>
      <c r="L7" t="s">
        <v>157</v>
      </c>
    </row>
    <row r="8" spans="1:12">
      <c r="A8" s="6" t="s">
        <v>43</v>
      </c>
      <c r="B8" s="6" t="s">
        <v>56</v>
      </c>
      <c r="C8" s="6" t="s">
        <v>44</v>
      </c>
      <c r="D8" s="8">
        <f>SUMIFS('Raw Scenario Times'!$G$2:$G$47,'Raw Scenario Times'!$C$2:$C$47,$A8,'Raw Scenario Times'!$D$2:$D$47,$B8,'Raw Scenario Times'!$F$2:$F$47,$C8,'Raw Scenario Times'!$E$2:$E$47,1)</f>
        <v>314.45699999999999</v>
      </c>
      <c r="E8" s="8">
        <f>SUMIFS('Raw Scenario Times'!$G$2:$G$47,'Raw Scenario Times'!$C$2:$C$47,$A8,'Raw Scenario Times'!$D$2:$D$47,$B8,'Raw Scenario Times'!$F$2:$F$47,$C8,'Raw Scenario Times'!$E$2:$E$47,2)</f>
        <v>292.36200000000002</v>
      </c>
      <c r="F8" s="8">
        <f>SUMIFS('Raw Scenario Times'!$G$2:$G$47,'Raw Scenario Times'!$C$2:$C$47,$A8,'Raw Scenario Times'!$D$2:$D$47,$B8,'Raw Scenario Times'!$F$2:$F$47,$C8,'Raw Scenario Times'!$E$2:$E$47,3)</f>
        <v>283.47199999999998</v>
      </c>
      <c r="G8" s="9">
        <f t="shared" si="0"/>
        <v>3</v>
      </c>
      <c r="H8" s="8">
        <f t="shared" si="1"/>
        <v>296.76366666666667</v>
      </c>
      <c r="I8" s="8" t="e">
        <f t="shared" ca="1" si="2"/>
        <v>#NAME?</v>
      </c>
      <c r="J8" s="8">
        <f t="shared" si="3"/>
        <v>283.47199999999998</v>
      </c>
      <c r="K8" s="8">
        <f t="shared" si="4"/>
        <v>314.45699999999999</v>
      </c>
      <c r="L8" t="s">
        <v>157</v>
      </c>
    </row>
    <row r="9" spans="1:12">
      <c r="A9" s="6" t="s">
        <v>43</v>
      </c>
      <c r="B9" s="6" t="s">
        <v>56</v>
      </c>
      <c r="C9" s="6" t="s">
        <v>47</v>
      </c>
      <c r="D9" s="8">
        <f>SUMIFS('Raw Scenario Times'!$G$2:$G$47,'Raw Scenario Times'!$C$2:$C$47,$A9,'Raw Scenario Times'!$D$2:$D$47,$B9,'Raw Scenario Times'!$F$2:$F$47,$C9,'Raw Scenario Times'!$E$2:$E$47,1)</f>
        <v>132.715</v>
      </c>
      <c r="E9" s="8">
        <f>SUMIFS('Raw Scenario Times'!$G$2:$G$47,'Raw Scenario Times'!$C$2:$C$47,$A9,'Raw Scenario Times'!$D$2:$D$47,$B9,'Raw Scenario Times'!$F$2:$F$47,$C9,'Raw Scenario Times'!$E$2:$E$47,2)</f>
        <v>181.328</v>
      </c>
      <c r="F9" s="8">
        <f>SUMIFS('Raw Scenario Times'!$G$2:$G$47,'Raw Scenario Times'!$C$2:$C$47,$A9,'Raw Scenario Times'!$D$2:$D$47,$B9,'Raw Scenario Times'!$F$2:$F$47,$C9,'Raw Scenario Times'!$E$2:$E$47,3)</f>
        <v>151.30500000000001</v>
      </c>
      <c r="G9" s="9">
        <f t="shared" si="0"/>
        <v>3</v>
      </c>
      <c r="H9" s="8">
        <f t="shared" si="1"/>
        <v>155.11600000000001</v>
      </c>
      <c r="I9" s="8" t="e">
        <f t="shared" ca="1" si="2"/>
        <v>#NAME?</v>
      </c>
      <c r="J9" s="8">
        <f t="shared" si="3"/>
        <v>132.715</v>
      </c>
      <c r="K9" s="8">
        <f t="shared" si="4"/>
        <v>181.328</v>
      </c>
      <c r="L9" t="s">
        <v>157</v>
      </c>
    </row>
    <row r="10" spans="1:12">
      <c r="A10" s="6" t="s">
        <v>50</v>
      </c>
      <c r="B10" s="6" t="s">
        <v>56</v>
      </c>
      <c r="C10" s="6" t="s">
        <v>51</v>
      </c>
      <c r="D10" s="8">
        <f>SUMIFS('Raw Scenario Times'!$G$2:$G$47,'Raw Scenario Times'!$C$2:$C$47,$A10,'Raw Scenario Times'!$D$2:$D$47,$B10,'Raw Scenario Times'!$F$2:$F$47,$C10,'Raw Scenario Times'!$E$2:$E$47,1)</f>
        <v>157.614</v>
      </c>
      <c r="E10" s="8">
        <f>SUMIFS('Raw Scenario Times'!$G$2:$G$47,'Raw Scenario Times'!$C$2:$C$47,$A10,'Raw Scenario Times'!$D$2:$D$47,$B10,'Raw Scenario Times'!$F$2:$F$47,$C10,'Raw Scenario Times'!$E$2:$E$47,2)</f>
        <v>155.696</v>
      </c>
      <c r="F10" s="8">
        <f>SUMIFS('Raw Scenario Times'!$G$2:$G$47,'Raw Scenario Times'!$C$2:$C$47,$A10,'Raw Scenario Times'!$D$2:$D$47,$B10,'Raw Scenario Times'!$F$2:$F$47,$C10,'Raw Scenario Times'!$E$2:$E$47,3)</f>
        <v>151.13999999999999</v>
      </c>
      <c r="G10" s="9">
        <f t="shared" si="0"/>
        <v>3</v>
      </c>
      <c r="H10" s="8">
        <f t="shared" si="1"/>
        <v>154.81666666666666</v>
      </c>
      <c r="I10" s="8" t="e">
        <f t="shared" ca="1" si="2"/>
        <v>#NAME?</v>
      </c>
      <c r="J10" s="8">
        <f t="shared" si="3"/>
        <v>151.13999999999999</v>
      </c>
      <c r="K10" s="8">
        <f t="shared" si="4"/>
        <v>157.614</v>
      </c>
      <c r="L10" t="s">
        <v>157</v>
      </c>
    </row>
    <row r="11" spans="1:12">
      <c r="A11" s="6" t="s">
        <v>50</v>
      </c>
      <c r="B11" s="6" t="s">
        <v>56</v>
      </c>
      <c r="C11" s="6" t="s">
        <v>47</v>
      </c>
      <c r="D11" s="8">
        <f>SUMIFS('Raw Scenario Times'!$G$2:$G$47,'Raw Scenario Times'!$C$2:$C$47,$A11,'Raw Scenario Times'!$D$2:$D$47,$B11,'Raw Scenario Times'!$F$2:$F$47,$C11,'Raw Scenario Times'!$E$2:$E$47,1)</f>
        <v>51.423999999999999</v>
      </c>
      <c r="E11" s="8">
        <f>SUMIFS('Raw Scenario Times'!$G$2:$G$47,'Raw Scenario Times'!$C$2:$C$47,$A11,'Raw Scenario Times'!$D$2:$D$47,$B11,'Raw Scenario Times'!$F$2:$F$47,$C11,'Raw Scenario Times'!$E$2:$E$47,2)</f>
        <v>50.156999999999996</v>
      </c>
      <c r="F11" s="8">
        <f>SUMIFS('Raw Scenario Times'!$G$2:$G$47,'Raw Scenario Times'!$C$2:$C$47,$A11,'Raw Scenario Times'!$D$2:$D$47,$B11,'Raw Scenario Times'!$F$2:$F$47,$C11,'Raw Scenario Times'!$E$2:$E$47,3)</f>
        <v>55.280999999999999</v>
      </c>
      <c r="G11" s="9">
        <f t="shared" si="0"/>
        <v>3</v>
      </c>
      <c r="H11" s="8">
        <f t="shared" si="1"/>
        <v>52.287333333333329</v>
      </c>
      <c r="I11" s="8" t="e">
        <f t="shared" ca="1" si="2"/>
        <v>#NAME?</v>
      </c>
      <c r="J11" s="8">
        <f t="shared" si="3"/>
        <v>50.156999999999996</v>
      </c>
      <c r="K11" s="8">
        <f t="shared" si="4"/>
        <v>55.280999999999999</v>
      </c>
      <c r="L11" t="s">
        <v>157</v>
      </c>
    </row>
    <row r="12" spans="1:12">
      <c r="A12" s="6" t="s">
        <v>38</v>
      </c>
      <c r="B12" s="6" t="s">
        <v>67</v>
      </c>
      <c r="C12" s="6" t="s">
        <v>40</v>
      </c>
      <c r="D12" s="8">
        <f>SUMIFS('Raw Scenario Times'!$G$2:$G$47,'Raw Scenario Times'!$C$2:$C$47,$A12,'Raw Scenario Times'!$D$2:$D$47,$B12,'Raw Scenario Times'!$F$2:$F$47,$C12,'Raw Scenario Times'!$E$2:$E$47,1)</f>
        <v>11.795999999999999</v>
      </c>
      <c r="E12" s="8">
        <f>SUMIFS('Raw Scenario Times'!$G$2:$G$47,'Raw Scenario Times'!$C$2:$C$47,$A12,'Raw Scenario Times'!$D$2:$D$47,$B12,'Raw Scenario Times'!$F$2:$F$47,$C12,'Raw Scenario Times'!$E$2:$E$47,2)</f>
        <v>13.276</v>
      </c>
      <c r="F12" s="8">
        <f>SUMIFS('Raw Scenario Times'!$G$2:$G$47,'Raw Scenario Times'!$C$2:$C$47,$A12,'Raw Scenario Times'!$D$2:$D$47,$B12,'Raw Scenario Times'!$F$2:$F$47,$C12,'Raw Scenario Times'!$E$2:$E$47,3)</f>
        <v>13.366</v>
      </c>
      <c r="G12" s="9">
        <f t="shared" si="0"/>
        <v>3</v>
      </c>
      <c r="H12" s="8">
        <f t="shared" si="1"/>
        <v>12.812666666666667</v>
      </c>
      <c r="I12" s="8" t="e">
        <f t="shared" ca="1" si="2"/>
        <v>#NAME?</v>
      </c>
      <c r="J12" s="8">
        <f t="shared" si="3"/>
        <v>11.795999999999999</v>
      </c>
      <c r="K12" s="8">
        <f t="shared" si="4"/>
        <v>13.366</v>
      </c>
      <c r="L12" t="s">
        <v>157</v>
      </c>
    </row>
    <row r="13" spans="1:12">
      <c r="A13" s="6" t="s">
        <v>43</v>
      </c>
      <c r="B13" s="6" t="s">
        <v>67</v>
      </c>
      <c r="C13" s="6" t="s">
        <v>44</v>
      </c>
      <c r="D13" s="8">
        <f>SUMIFS('Raw Scenario Times'!$G$2:$G$47,'Raw Scenario Times'!$C$2:$C$47,$A13,'Raw Scenario Times'!$D$2:$D$47,$B13,'Raw Scenario Times'!$F$2:$F$47,$C13,'Raw Scenario Times'!$E$2:$E$47,1)</f>
        <v>222.71100000000001</v>
      </c>
      <c r="E13" s="8">
        <f>SUMIFS('Raw Scenario Times'!$G$2:$G$47,'Raw Scenario Times'!$C$2:$C$47,$A13,'Raw Scenario Times'!$D$2:$D$47,$B13,'Raw Scenario Times'!$F$2:$F$47,$C13,'Raw Scenario Times'!$E$2:$E$47,2)</f>
        <v>228.899</v>
      </c>
      <c r="F13" s="8">
        <f>SUMIFS('Raw Scenario Times'!$G$2:$G$47,'Raw Scenario Times'!$C$2:$C$47,$A13,'Raw Scenario Times'!$D$2:$D$47,$B13,'Raw Scenario Times'!$F$2:$F$47,$C13,'Raw Scenario Times'!$E$2:$E$47,3)</f>
        <v>239.55199999999999</v>
      </c>
      <c r="G13" s="9">
        <f t="shared" si="0"/>
        <v>3</v>
      </c>
      <c r="H13" s="8">
        <f t="shared" si="1"/>
        <v>230.38733333333334</v>
      </c>
      <c r="I13" s="8" t="e">
        <f t="shared" ca="1" si="2"/>
        <v>#NAME?</v>
      </c>
      <c r="J13" s="8">
        <f t="shared" si="3"/>
        <v>222.71100000000001</v>
      </c>
      <c r="K13" s="8">
        <f t="shared" si="4"/>
        <v>239.55199999999999</v>
      </c>
      <c r="L13" t="s">
        <v>157</v>
      </c>
    </row>
    <row r="14" spans="1:12">
      <c r="A14" s="6" t="s">
        <v>43</v>
      </c>
      <c r="B14" s="6" t="s">
        <v>67</v>
      </c>
      <c r="C14" s="6" t="s">
        <v>47</v>
      </c>
      <c r="D14" s="8">
        <f>SUMIFS('Raw Scenario Times'!$G$2:$G$47,'Raw Scenario Times'!$C$2:$C$47,$A14,'Raw Scenario Times'!$D$2:$D$47,$B14,'Raw Scenario Times'!$F$2:$F$47,$C14,'Raw Scenario Times'!$E$2:$E$47,1)</f>
        <v>130.869</v>
      </c>
      <c r="E14" s="8">
        <f>SUMIFS('Raw Scenario Times'!$G$2:$G$47,'Raw Scenario Times'!$C$2:$C$47,$A14,'Raw Scenario Times'!$D$2:$D$47,$B14,'Raw Scenario Times'!$F$2:$F$47,$C14,'Raw Scenario Times'!$E$2:$E$47,2)</f>
        <v>162.34399999999999</v>
      </c>
      <c r="F14" s="8">
        <f>SUMIFS('Raw Scenario Times'!$G$2:$G$47,'Raw Scenario Times'!$C$2:$C$47,$A14,'Raw Scenario Times'!$D$2:$D$47,$B14,'Raw Scenario Times'!$F$2:$F$47,$C14,'Raw Scenario Times'!$E$2:$E$47,3)</f>
        <v>162.626</v>
      </c>
      <c r="G14" s="9">
        <f t="shared" si="0"/>
        <v>3</v>
      </c>
      <c r="H14" s="8">
        <f t="shared" si="1"/>
        <v>151.94633333333331</v>
      </c>
      <c r="I14" s="8" t="e">
        <f t="shared" ca="1" si="2"/>
        <v>#NAME?</v>
      </c>
      <c r="J14" s="8">
        <f t="shared" si="3"/>
        <v>130.869</v>
      </c>
      <c r="K14" s="8">
        <f t="shared" si="4"/>
        <v>162.626</v>
      </c>
      <c r="L14" t="s">
        <v>157</v>
      </c>
    </row>
    <row r="15" spans="1:12">
      <c r="A15" s="6" t="s">
        <v>50</v>
      </c>
      <c r="B15" s="6" t="s">
        <v>67</v>
      </c>
      <c r="C15" s="6" t="s">
        <v>51</v>
      </c>
      <c r="D15" s="8">
        <f>SUMIFS('Raw Scenario Times'!$G$2:$G$47,'Raw Scenario Times'!$C$2:$C$47,$A15,'Raw Scenario Times'!$D$2:$D$47,$B15,'Raw Scenario Times'!$F$2:$F$47,$C15,'Raw Scenario Times'!$E$2:$E$47,1)</f>
        <v>108.456</v>
      </c>
      <c r="E15" s="8">
        <f>SUMIFS('Raw Scenario Times'!$G$2:$G$47,'Raw Scenario Times'!$C$2:$C$47,$A15,'Raw Scenario Times'!$D$2:$D$47,$B15,'Raw Scenario Times'!$F$2:$F$47,$C15,'Raw Scenario Times'!$E$2:$E$47,2)</f>
        <v>92.710999999999999</v>
      </c>
      <c r="F15" s="8">
        <f>SUMIFS('Raw Scenario Times'!$G$2:$G$47,'Raw Scenario Times'!$C$2:$C$47,$A15,'Raw Scenario Times'!$D$2:$D$47,$B15,'Raw Scenario Times'!$F$2:$F$47,$C15,'Raw Scenario Times'!$E$2:$E$47,3)</f>
        <v>88.64</v>
      </c>
      <c r="G15" s="9">
        <f t="shared" si="0"/>
        <v>3</v>
      </c>
      <c r="H15" s="8">
        <f t="shared" si="1"/>
        <v>96.602333333333334</v>
      </c>
      <c r="I15" s="8" t="e">
        <f t="shared" ca="1" si="2"/>
        <v>#NAME?</v>
      </c>
      <c r="J15" s="8">
        <f t="shared" si="3"/>
        <v>88.64</v>
      </c>
      <c r="K15" s="8">
        <f t="shared" si="4"/>
        <v>108.456</v>
      </c>
      <c r="L15" t="s">
        <v>157</v>
      </c>
    </row>
    <row r="16" spans="1:12">
      <c r="A16" s="6" t="s">
        <v>50</v>
      </c>
      <c r="B16" s="6" t="s">
        <v>67</v>
      </c>
      <c r="C16" s="6" t="s">
        <v>47</v>
      </c>
      <c r="D16" s="8">
        <f>SUMIFS('Raw Scenario Times'!$G$2:$G$47,'Raw Scenario Times'!$C$2:$C$47,$A16,'Raw Scenario Times'!$D$2:$D$47,$B16,'Raw Scenario Times'!$F$2:$F$47,$C16,'Raw Scenario Times'!$E$2:$E$47,1)</f>
        <v>48.881</v>
      </c>
      <c r="E16" s="8">
        <f>SUMIFS('Raw Scenario Times'!$G$2:$G$47,'Raw Scenario Times'!$C$2:$C$47,$A16,'Raw Scenario Times'!$D$2:$D$47,$B16,'Raw Scenario Times'!$F$2:$F$47,$C16,'Raw Scenario Times'!$E$2:$E$47,2)</f>
        <v>52.595999999999997</v>
      </c>
      <c r="F16" s="8">
        <f>SUMIFS('Raw Scenario Times'!$G$2:$G$47,'Raw Scenario Times'!$C$2:$C$47,$A16,'Raw Scenario Times'!$D$2:$D$47,$B16,'Raw Scenario Times'!$F$2:$F$47,$C16,'Raw Scenario Times'!$E$2:$E$47,3)</f>
        <v>57.524000000000001</v>
      </c>
      <c r="G16" s="9">
        <f t="shared" si="0"/>
        <v>3</v>
      </c>
      <c r="H16" s="8">
        <f t="shared" si="1"/>
        <v>53.000333333333337</v>
      </c>
      <c r="I16" s="8" t="e">
        <f t="shared" ca="1" si="2"/>
        <v>#NAME?</v>
      </c>
      <c r="J16" s="8">
        <f t="shared" si="3"/>
        <v>48.881</v>
      </c>
      <c r="K16" s="8">
        <f t="shared" si="4"/>
        <v>57.524000000000001</v>
      </c>
      <c r="L16" t="s">
        <v>157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B4" sqref="B4"/>
    </sheetView>
  </sheetViews>
  <sheetFormatPr defaultRowHeight="13.8"/>
  <cols>
    <col min="1" max="5" width="24" customWidth="1"/>
  </cols>
  <sheetData>
    <row r="1" spans="1:6" ht="17.399999999999999">
      <c r="A1" s="11" t="s">
        <v>158</v>
      </c>
      <c r="B1" s="12"/>
      <c r="C1" s="12"/>
      <c r="D1" s="12"/>
      <c r="E1" s="12"/>
      <c r="F1" s="12"/>
    </row>
    <row r="3" spans="1:6">
      <c r="A3" s="3" t="s">
        <v>26</v>
      </c>
      <c r="B3" s="3" t="s">
        <v>159</v>
      </c>
      <c r="C3" s="3" t="s">
        <v>160</v>
      </c>
      <c r="D3" s="3" t="s">
        <v>161</v>
      </c>
    </row>
    <row r="4" spans="1:6">
      <c r="A4" s="6" t="s">
        <v>39</v>
      </c>
      <c r="B4" s="8">
        <f>SUMIFS('Runtime Summary'!$G$2:$G$10,'Runtime Summary'!$A$2:$A$10,"ELT",'Runtime Summary'!$B$2:$B$10,$A4)</f>
        <v>408.25566666666668</v>
      </c>
      <c r="C4" s="8">
        <f>SUMIFS('Runtime Summary'!$G$2:$G$10,'Runtime Summary'!$A$2:$A$10,"Hybrid",'Runtime Summary'!$B$2:$B$10,$A4)</f>
        <v>193.18499999999997</v>
      </c>
      <c r="D4" s="10">
        <f>IFERROR(1-C4/B4,0)</f>
        <v>0.52680387371638859</v>
      </c>
    </row>
    <row r="5" spans="1:6">
      <c r="A5" s="6" t="s">
        <v>56</v>
      </c>
      <c r="B5" s="8">
        <f>SUMIFS('Runtime Summary'!$G$2:$G$10,'Runtime Summary'!$A$2:$A$10,"ELT",'Runtime Summary'!$B$2:$B$10,$A5)</f>
        <v>451.87966666666671</v>
      </c>
      <c r="C5" s="8">
        <f>SUMIFS('Runtime Summary'!$G$2:$G$10,'Runtime Summary'!$A$2:$A$10,"Hybrid",'Runtime Summary'!$B$2:$B$10,$A5)</f>
        <v>207.10400000000001</v>
      </c>
      <c r="D5" s="10">
        <f>IFERROR(1-C5/B5,0)</f>
        <v>0.54168329474144672</v>
      </c>
    </row>
    <row r="6" spans="1:6">
      <c r="A6" s="6" t="s">
        <v>67</v>
      </c>
      <c r="B6" s="8">
        <f>SUMIFS('Runtime Summary'!$G$2:$G$10,'Runtime Summary'!$A$2:$A$10,"ELT",'Runtime Summary'!$B$2:$B$10,$A6)</f>
        <v>382.33366666666672</v>
      </c>
      <c r="C6" s="8">
        <f>SUMIFS('Runtime Summary'!$G$2:$G$10,'Runtime Summary'!$A$2:$A$10,"Hybrid",'Runtime Summary'!$B$2:$B$10,$A6)</f>
        <v>149.60266666666666</v>
      </c>
      <c r="D6" s="10">
        <f>IFERROR(1-C6/B6,0)</f>
        <v>0.6087117622390914</v>
      </c>
    </row>
    <row r="9" spans="1:6">
      <c r="A9" s="3" t="s">
        <v>25</v>
      </c>
      <c r="B9" s="3" t="s">
        <v>162</v>
      </c>
      <c r="C9" s="3" t="s">
        <v>163</v>
      </c>
      <c r="D9" s="3" t="s">
        <v>164</v>
      </c>
      <c r="E9" s="3" t="s">
        <v>165</v>
      </c>
    </row>
    <row r="10" spans="1:6">
      <c r="A10" s="6" t="s">
        <v>38</v>
      </c>
      <c r="B10" s="8">
        <f>SUMIFS('Runtime Summary'!$G$2:$G$10,'Runtime Summary'!$A$2:$A$10,$A10,'Runtime Summary'!$B$2:$B$10,"csv")</f>
        <v>32.494666666666667</v>
      </c>
      <c r="C10" s="8">
        <f>SUMIFS('Runtime Summary'!$G$2:$G$10,'Runtime Summary'!$A$2:$A$10,$A10,'Runtime Summary'!$B$2:$B$10,"parquet")</f>
        <v>12.812666666666667</v>
      </c>
      <c r="D10" s="10">
        <f>IFERROR(1-C10/B10,0)</f>
        <v>0.60569939682409424</v>
      </c>
      <c r="E10" s="10">
        <f>IFERROR(SUMIFS('Runtime Summary'!$G$2:$G$10,'Runtime Summary'!$A$2:$A$10,$A10,'Runtime Summary'!$B$2:$B$10,"jsonl")/B10-1,0)</f>
        <v>0.75449304501251468</v>
      </c>
    </row>
    <row r="11" spans="1:6">
      <c r="A11" s="6" t="s">
        <v>43</v>
      </c>
      <c r="B11" s="8">
        <f>SUMIFS('Runtime Summary'!$G$2:$G$10,'Runtime Summary'!$A$2:$A$10,$A11,'Runtime Summary'!$B$2:$B$10,"csv")</f>
        <v>408.25566666666668</v>
      </c>
      <c r="C11" s="8">
        <f>SUMIFS('Runtime Summary'!$G$2:$G$10,'Runtime Summary'!$A$2:$A$10,$A11,'Runtime Summary'!$B$2:$B$10,"parquet")</f>
        <v>382.33366666666672</v>
      </c>
      <c r="D11" s="10">
        <f>IFERROR(1-C11/B11,0)</f>
        <v>6.3494525897578757E-2</v>
      </c>
      <c r="E11" s="10">
        <f>IFERROR(SUMIFS('Runtime Summary'!$G$2:$G$10,'Runtime Summary'!$A$2:$A$10,$A11,'Runtime Summary'!$B$2:$B$10,"jsonl")/B11-1,0)</f>
        <v>0.10685460989722939</v>
      </c>
    </row>
    <row r="12" spans="1:6">
      <c r="A12" s="6" t="s">
        <v>50</v>
      </c>
      <c r="B12" s="8">
        <f>SUMIFS('Runtime Summary'!$G$2:$G$10,'Runtime Summary'!$A$2:$A$10,$A12,'Runtime Summary'!$B$2:$B$10,"csv")</f>
        <v>193.18499999999997</v>
      </c>
      <c r="C12" s="8">
        <f>SUMIFS('Runtime Summary'!$G$2:$G$10,'Runtime Summary'!$A$2:$A$10,$A12,'Runtime Summary'!$B$2:$B$10,"parquet")</f>
        <v>149.60266666666666</v>
      </c>
      <c r="D12" s="10">
        <f>IFERROR(1-C12/B12,0)</f>
        <v>0.22559895091923965</v>
      </c>
      <c r="E12" s="10">
        <f>IFERROR(SUMIFS('Runtime Summary'!$G$2:$G$10,'Runtime Summary'!$A$2:$A$10,$A12,'Runtime Summary'!$B$2:$B$10,"jsonl")/B12-1,0)</f>
        <v>7.2050107409995734E-2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zoomScale="85" zoomScaleNormal="85" workbookViewId="0">
      <selection activeCell="D4" sqref="D4"/>
    </sheetView>
  </sheetViews>
  <sheetFormatPr defaultRowHeight="13.8"/>
  <cols>
    <col min="1" max="4" width="24" customWidth="1"/>
  </cols>
  <sheetData>
    <row r="1" spans="1:8" ht="17.399999999999999">
      <c r="A1" s="11" t="s">
        <v>166</v>
      </c>
      <c r="B1" s="12"/>
      <c r="C1" s="12"/>
      <c r="D1" s="12"/>
      <c r="E1" s="12"/>
      <c r="F1" s="12"/>
      <c r="G1" s="12"/>
      <c r="H1" s="12"/>
    </row>
    <row r="3" spans="1:8">
      <c r="A3" s="1" t="s">
        <v>167</v>
      </c>
      <c r="B3" s="7" t="str">
        <f>INDEX('Runtime Summary'!$A$2:$A$10,MATCH(B4,'Runtime Summary'!$G$2:$G$10,0))&amp;" "&amp;INDEX('Runtime Summary'!$B$2:$B$10,MATCH(B4,'Runtime Summary'!$G$2:$G$10,0))</f>
        <v>ETL parquet</v>
      </c>
    </row>
    <row r="4" spans="1:8">
      <c r="A4" s="1" t="s">
        <v>168</v>
      </c>
      <c r="B4" s="8">
        <f>MIN('Runtime Summary'!$G$2:$G$10)</f>
        <v>12.812666666666667</v>
      </c>
    </row>
    <row r="5" spans="1:8">
      <c r="A5" s="1" t="s">
        <v>169</v>
      </c>
      <c r="B5" s="8" t="str">
        <f>INDEX('Runtime Summary'!$A$2:$A$10,MATCH(B6,'Runtime Summary'!$G$2:$G$10,0))&amp;" "&amp;INDEX('Runtime Summary'!$B$2:$B$10,MATCH(B6,'Runtime Summary'!$G$2:$G$10,0))</f>
        <v>ELT jsonl</v>
      </c>
    </row>
    <row r="6" spans="1:8">
      <c r="A6" s="1" t="s">
        <v>170</v>
      </c>
      <c r="B6" s="8">
        <f>MAX('Runtime Summary'!$G$2:$G$10)</f>
        <v>451.87966666666671</v>
      </c>
    </row>
    <row r="8" spans="1:8">
      <c r="A8" s="3" t="s">
        <v>171</v>
      </c>
      <c r="B8" s="3" t="s">
        <v>172</v>
      </c>
      <c r="C8" s="3" t="s">
        <v>173</v>
      </c>
      <c r="D8" s="3" t="s">
        <v>174</v>
      </c>
    </row>
    <row r="9" spans="1:8">
      <c r="A9" s="6" t="s">
        <v>38</v>
      </c>
      <c r="B9" s="8">
        <f>SUMIFS('Runtime Summary'!$G$2:$G$10,'Runtime Summary'!$A$2:$A$10,$A9,'Runtime Summary'!$B$2:$B$10,"csv")</f>
        <v>32.494666666666667</v>
      </c>
      <c r="C9" s="8">
        <f>SUMIFS('Runtime Summary'!$G$2:$G$10,'Runtime Summary'!$A$2:$A$10,$A9,'Runtime Summary'!$B$2:$B$10,"jsonl")</f>
        <v>57.011666666666663</v>
      </c>
      <c r="D9" s="8">
        <f>SUMIFS('Runtime Summary'!$G$2:$G$10,'Runtime Summary'!$A$2:$A$10,$A9,'Runtime Summary'!$B$2:$B$10,"parquet")</f>
        <v>12.812666666666667</v>
      </c>
    </row>
    <row r="10" spans="1:8">
      <c r="A10" s="6" t="s">
        <v>43</v>
      </c>
      <c r="B10" s="8">
        <f>SUMIFS('Runtime Summary'!$G$2:$G$10,'Runtime Summary'!$A$2:$A$10,$A10,'Runtime Summary'!$B$2:$B$10,"csv")</f>
        <v>408.25566666666668</v>
      </c>
      <c r="C10" s="8">
        <f>SUMIFS('Runtime Summary'!$G$2:$G$10,'Runtime Summary'!$A$2:$A$10,$A10,'Runtime Summary'!$B$2:$B$10,"jsonl")</f>
        <v>451.87966666666671</v>
      </c>
      <c r="D10" s="8">
        <f>SUMIFS('Runtime Summary'!$G$2:$G$10,'Runtime Summary'!$A$2:$A$10,$A10,'Runtime Summary'!$B$2:$B$10,"parquet")</f>
        <v>382.33366666666672</v>
      </c>
    </row>
    <row r="11" spans="1:8">
      <c r="A11" s="6" t="s">
        <v>50</v>
      </c>
      <c r="B11" s="8">
        <f>SUMIFS('Runtime Summary'!$G$2:$G$10,'Runtime Summary'!$A$2:$A$10,$A11,'Runtime Summary'!$B$2:$B$10,"csv")</f>
        <v>193.18499999999997</v>
      </c>
      <c r="C11" s="8">
        <f>SUMIFS('Runtime Summary'!$G$2:$G$10,'Runtime Summary'!$A$2:$A$10,$A11,'Runtime Summary'!$B$2:$B$10,"jsonl")</f>
        <v>207.10400000000001</v>
      </c>
      <c r="D11" s="8">
        <f>SUMIFS('Runtime Summary'!$G$2:$G$10,'Runtime Summary'!$A$2:$A$10,$A11,'Runtime Summary'!$B$2:$B$10,"parquet")</f>
        <v>149.60266666666666</v>
      </c>
    </row>
    <row r="14" spans="1:8">
      <c r="A14" s="3" t="s">
        <v>175</v>
      </c>
      <c r="B14" s="3" t="s">
        <v>176</v>
      </c>
      <c r="C14" s="3" t="s">
        <v>177</v>
      </c>
      <c r="D14" s="3" t="s">
        <v>161</v>
      </c>
    </row>
    <row r="15" spans="1:8">
      <c r="A15" s="6" t="s">
        <v>39</v>
      </c>
      <c r="B15" s="8">
        <f>SUMIFS('Runtime Summary'!$G$2:$G$10,'Runtime Summary'!$A$2:$A$10,"ELT",'Runtime Summary'!$B$2:$B$10,$A4)</f>
        <v>0</v>
      </c>
      <c r="C15" s="8">
        <f>SUMIFS('Runtime Summary'!$G$2:$G$10,'Runtime Summary'!$A$2:$A$10,"Hybrid",'Runtime Summary'!$B$2:$B$10,$A4)</f>
        <v>0</v>
      </c>
      <c r="D15" s="10">
        <f>IFERROR(1-C4/B4,0)</f>
        <v>1</v>
      </c>
    </row>
    <row r="16" spans="1:8">
      <c r="A16" s="6" t="s">
        <v>56</v>
      </c>
      <c r="B16" s="8">
        <f>SUMIFS('Runtime Summary'!$G$2:$G$10,'Runtime Summary'!$A$2:$A$10,"ELT",'Runtime Summary'!$B$2:$B$10,$A5)</f>
        <v>0</v>
      </c>
      <c r="C16" s="8">
        <f>SUMIFS('Runtime Summary'!$G$2:$G$10,'Runtime Summary'!$A$2:$A$10,"Hybrid",'Runtime Summary'!$B$2:$B$10,$A5)</f>
        <v>0</v>
      </c>
      <c r="D16" s="10">
        <f>IFERROR(1-C5/B5,0)</f>
        <v>0</v>
      </c>
    </row>
    <row r="17" spans="1:4">
      <c r="A17" s="6" t="s">
        <v>67</v>
      </c>
      <c r="B17" s="8">
        <f>SUMIFS('Runtime Summary'!$G$2:$G$10,'Runtime Summary'!$A$2:$A$10,"ELT",'Runtime Summary'!$B$2:$B$10,$A6)</f>
        <v>0</v>
      </c>
      <c r="C17" s="8">
        <f>SUMIFS('Runtime Summary'!$G$2:$G$10,'Runtime Summary'!$A$2:$A$10,"Hybrid",'Runtime Summary'!$B$2:$B$10,$A6)</f>
        <v>0</v>
      </c>
      <c r="D17" s="10">
        <f>IFERROR(1-C6/B6,0)</f>
        <v>1</v>
      </c>
    </row>
  </sheetData>
  <mergeCells count="1">
    <mergeCell ref="A1:H1"/>
  </mergeCells>
  <conditionalFormatting sqref="B9:D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"/>
  <sheetViews>
    <sheetView workbookViewId="0">
      <selection activeCell="A8" sqref="A8"/>
    </sheetView>
  </sheetViews>
  <sheetFormatPr defaultRowHeight="13.8"/>
  <cols>
    <col min="1" max="1" width="9.69921875" customWidth="1"/>
    <col min="2" max="2" width="6.5" customWidth="1"/>
    <col min="3" max="3" width="10.69921875" customWidth="1"/>
    <col min="4" max="4" width="11.09765625" customWidth="1"/>
    <col min="5" max="5" width="15.09765625" customWidth="1"/>
    <col min="6" max="6" width="15.59765625" customWidth="1"/>
    <col min="7" max="7" width="17.8984375" customWidth="1"/>
    <col min="8" max="8" width="14.5" customWidth="1"/>
    <col min="9" max="9" width="17.19921875" customWidth="1"/>
    <col min="10" max="11" width="13.5" customWidth="1"/>
    <col min="12" max="12" width="19.8984375" customWidth="1"/>
    <col min="13" max="13" width="12.3984375" customWidth="1"/>
    <col min="14" max="14" width="10.19921875" customWidth="1"/>
    <col min="15" max="15" width="13.5" customWidth="1"/>
    <col min="16" max="16" width="14" customWidth="1"/>
    <col min="17" max="17" width="21.19921875" customWidth="1"/>
    <col min="18" max="18" width="17.8984375" customWidth="1"/>
    <col min="19" max="19" width="23.19921875" customWidth="1"/>
  </cols>
  <sheetData>
    <row r="1" spans="1:19" ht="27.6">
      <c r="A1" s="3" t="s">
        <v>25</v>
      </c>
      <c r="B1" s="3" t="s">
        <v>26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  <c r="N1" s="3" t="s">
        <v>189</v>
      </c>
      <c r="O1" s="3" t="s">
        <v>190</v>
      </c>
      <c r="P1" s="3" t="s">
        <v>191</v>
      </c>
      <c r="Q1" s="3" t="s">
        <v>192</v>
      </c>
      <c r="R1" s="3" t="s">
        <v>193</v>
      </c>
      <c r="S1" s="3" t="s">
        <v>194</v>
      </c>
    </row>
    <row r="2" spans="1:19">
      <c r="A2" t="s">
        <v>43</v>
      </c>
      <c r="B2" t="s">
        <v>39</v>
      </c>
      <c r="C2">
        <v>5586079246</v>
      </c>
      <c r="D2">
        <v>42549826</v>
      </c>
      <c r="E2">
        <v>0</v>
      </c>
      <c r="F2">
        <v>0</v>
      </c>
      <c r="G2">
        <v>0</v>
      </c>
      <c r="H2">
        <v>0</v>
      </c>
      <c r="I2">
        <v>1925006.3333333333</v>
      </c>
      <c r="J2">
        <v>162579954666.66666</v>
      </c>
      <c r="K2">
        <v>12276</v>
      </c>
      <c r="L2">
        <v>0</v>
      </c>
      <c r="M2">
        <v>42549820</v>
      </c>
      <c r="N2">
        <v>5327.3003063201904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43</v>
      </c>
      <c r="B3" t="s">
        <v>56</v>
      </c>
      <c r="C3">
        <v>29460009646</v>
      </c>
      <c r="D3">
        <v>85099640</v>
      </c>
      <c r="E3">
        <v>0</v>
      </c>
      <c r="F3">
        <v>0</v>
      </c>
      <c r="G3">
        <v>0</v>
      </c>
      <c r="H3">
        <v>0</v>
      </c>
      <c r="I3">
        <v>2256881</v>
      </c>
      <c r="J3">
        <v>246046743000</v>
      </c>
      <c r="K3">
        <v>16549</v>
      </c>
      <c r="L3">
        <v>0</v>
      </c>
      <c r="M3">
        <v>42549820</v>
      </c>
      <c r="N3">
        <v>28095.254560470581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43</v>
      </c>
      <c r="B4" t="s">
        <v>67</v>
      </c>
      <c r="C4">
        <v>1639249826</v>
      </c>
      <c r="D4">
        <v>42549820</v>
      </c>
      <c r="E4">
        <v>0</v>
      </c>
      <c r="F4">
        <v>0</v>
      </c>
      <c r="G4">
        <v>0</v>
      </c>
      <c r="H4">
        <v>0</v>
      </c>
      <c r="I4">
        <v>1695066.6666666667</v>
      </c>
      <c r="J4">
        <v>150330710333.33334</v>
      </c>
      <c r="K4">
        <v>15529</v>
      </c>
      <c r="L4">
        <v>0</v>
      </c>
      <c r="M4">
        <v>42549820</v>
      </c>
      <c r="N4">
        <v>1563.3104572296143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38</v>
      </c>
      <c r="B5" t="s">
        <v>39</v>
      </c>
      <c r="C5">
        <v>5586079246</v>
      </c>
      <c r="D5">
        <v>42549826</v>
      </c>
      <c r="E5">
        <v>1436498650</v>
      </c>
      <c r="F5">
        <v>1436421325</v>
      </c>
      <c r="G5">
        <v>50331584</v>
      </c>
      <c r="H5">
        <v>18867254</v>
      </c>
      <c r="I5">
        <v>181644</v>
      </c>
      <c r="J5">
        <v>89145667333.333328</v>
      </c>
      <c r="K5">
        <v>1795.3333333333333</v>
      </c>
      <c r="L5">
        <v>4068602784</v>
      </c>
      <c r="M5">
        <v>175</v>
      </c>
      <c r="N5">
        <v>5327.3003063201904</v>
      </c>
      <c r="O5">
        <v>1369.951868057251</v>
      </c>
      <c r="P5">
        <v>1369.8781251907349</v>
      </c>
      <c r="Q5">
        <v>47.99993896484375</v>
      </c>
      <c r="R5">
        <v>17.993215560913086</v>
      </c>
      <c r="S5">
        <v>3880.1219787597656</v>
      </c>
    </row>
    <row r="6" spans="1:19">
      <c r="A6" t="s">
        <v>38</v>
      </c>
      <c r="B6" t="s">
        <v>56</v>
      </c>
      <c r="C6">
        <v>29460009646</v>
      </c>
      <c r="D6">
        <v>85099640</v>
      </c>
      <c r="E6">
        <v>1099873072</v>
      </c>
      <c r="F6">
        <v>1099806857</v>
      </c>
      <c r="G6">
        <v>0</v>
      </c>
      <c r="H6">
        <v>0</v>
      </c>
      <c r="I6">
        <v>387803.66666666669</v>
      </c>
      <c r="J6">
        <v>168912160000</v>
      </c>
      <c r="K6">
        <v>4499.666666666667</v>
      </c>
      <c r="L6">
        <v>3036913160</v>
      </c>
      <c r="M6">
        <v>175</v>
      </c>
      <c r="N6">
        <v>28095.254560470581</v>
      </c>
      <c r="O6">
        <v>1048.9207000732422</v>
      </c>
      <c r="P6">
        <v>1048.8575525283813</v>
      </c>
      <c r="Q6">
        <v>0</v>
      </c>
      <c r="R6">
        <v>0</v>
      </c>
      <c r="S6">
        <v>2896.2260818481445</v>
      </c>
    </row>
    <row r="7" spans="1:19">
      <c r="A7" t="s">
        <v>38</v>
      </c>
      <c r="B7" t="s">
        <v>67</v>
      </c>
      <c r="C7">
        <v>618253899</v>
      </c>
      <c r="D7">
        <v>42549820</v>
      </c>
      <c r="E7">
        <v>236298883</v>
      </c>
      <c r="F7">
        <v>236238126</v>
      </c>
      <c r="G7">
        <v>0</v>
      </c>
      <c r="H7">
        <v>0</v>
      </c>
      <c r="I7">
        <v>46900</v>
      </c>
      <c r="J7">
        <v>27388760666.666668</v>
      </c>
      <c r="K7">
        <v>636</v>
      </c>
      <c r="L7">
        <v>2811290664</v>
      </c>
      <c r="M7">
        <v>175</v>
      </c>
      <c r="N7">
        <v>589.61286449432373</v>
      </c>
      <c r="O7">
        <v>225.35217571258545</v>
      </c>
      <c r="P7">
        <v>225.29423332214355</v>
      </c>
      <c r="Q7">
        <v>0</v>
      </c>
      <c r="R7">
        <v>0</v>
      </c>
      <c r="S7">
        <v>2681.0557022094727</v>
      </c>
    </row>
    <row r="8" spans="1:19">
      <c r="A8" t="s">
        <v>50</v>
      </c>
      <c r="B8" t="s">
        <v>39</v>
      </c>
      <c r="C8">
        <v>5586079246</v>
      </c>
      <c r="D8">
        <v>42549826</v>
      </c>
      <c r="E8">
        <v>0</v>
      </c>
      <c r="F8">
        <v>0</v>
      </c>
      <c r="G8">
        <v>0</v>
      </c>
      <c r="H8">
        <v>0</v>
      </c>
      <c r="I8">
        <v>968015</v>
      </c>
      <c r="J8">
        <v>91449997666.666672</v>
      </c>
      <c r="K8">
        <v>3881.6666666666665</v>
      </c>
      <c r="L8">
        <v>0</v>
      </c>
      <c r="M8">
        <v>42549820</v>
      </c>
      <c r="N8">
        <v>5327.3003063201904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50</v>
      </c>
      <c r="B9" t="s">
        <v>56</v>
      </c>
      <c r="C9">
        <v>29460009646</v>
      </c>
      <c r="D9">
        <v>85099640</v>
      </c>
      <c r="E9">
        <v>0</v>
      </c>
      <c r="F9">
        <v>0</v>
      </c>
      <c r="G9">
        <v>0</v>
      </c>
      <c r="H9">
        <v>0</v>
      </c>
      <c r="I9">
        <v>1141255.6666666667</v>
      </c>
      <c r="J9">
        <v>166169358333.33334</v>
      </c>
      <c r="K9">
        <v>5335</v>
      </c>
      <c r="L9">
        <v>0</v>
      </c>
      <c r="M9">
        <v>42549820</v>
      </c>
      <c r="N9">
        <v>28095.254560470581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50</v>
      </c>
      <c r="B10" t="s">
        <v>67</v>
      </c>
      <c r="C10">
        <v>618253899</v>
      </c>
      <c r="D10">
        <v>42549820</v>
      </c>
      <c r="E10">
        <v>0</v>
      </c>
      <c r="F10">
        <v>0</v>
      </c>
      <c r="G10">
        <v>0</v>
      </c>
      <c r="H10">
        <v>0</v>
      </c>
      <c r="I10">
        <v>667642</v>
      </c>
      <c r="J10">
        <v>59111979666.666664</v>
      </c>
      <c r="K10">
        <v>2664</v>
      </c>
      <c r="L10">
        <v>0</v>
      </c>
      <c r="M10">
        <v>42549820</v>
      </c>
      <c r="N10">
        <v>589.61286449432373</v>
      </c>
      <c r="O10">
        <v>0</v>
      </c>
      <c r="P10">
        <v>0</v>
      </c>
      <c r="Q10">
        <v>0</v>
      </c>
      <c r="R10">
        <v>0</v>
      </c>
      <c r="S10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</sheetViews>
  <sheetFormatPr defaultRowHeight="13.8"/>
  <cols>
    <col min="1" max="1" width="9.69921875" customWidth="1"/>
    <col min="2" max="2" width="6.5" customWidth="1"/>
    <col min="3" max="3" width="3.8984375" customWidth="1"/>
    <col min="4" max="4" width="12.09765625" customWidth="1"/>
    <col min="5" max="5" width="11.8984375" customWidth="1"/>
    <col min="6" max="6" width="12.5" customWidth="1"/>
    <col min="7" max="7" width="12.69921875" customWidth="1"/>
    <col min="8" max="8" width="8.09765625" customWidth="1"/>
    <col min="9" max="9" width="8.3984375" customWidth="1"/>
  </cols>
  <sheetData>
    <row r="1" spans="1:9" ht="27.6">
      <c r="A1" s="3" t="s">
        <v>25</v>
      </c>
      <c r="B1" s="3" t="s">
        <v>26</v>
      </c>
      <c r="C1" s="3" t="s">
        <v>195</v>
      </c>
      <c r="D1" s="3" t="s">
        <v>196</v>
      </c>
      <c r="E1" s="3" t="s">
        <v>197</v>
      </c>
      <c r="F1" s="3" t="s">
        <v>198</v>
      </c>
      <c r="G1" s="3" t="s">
        <v>199</v>
      </c>
      <c r="H1" s="3" t="s">
        <v>200</v>
      </c>
      <c r="I1" s="3" t="s">
        <v>201</v>
      </c>
    </row>
    <row r="2" spans="1:9">
      <c r="A2" t="s">
        <v>43</v>
      </c>
      <c r="B2" t="s">
        <v>39</v>
      </c>
      <c r="C2">
        <v>3</v>
      </c>
      <c r="D2">
        <v>139.61333333333332</v>
      </c>
      <c r="E2">
        <v>31.370128041392086</v>
      </c>
      <c r="F2">
        <v>110.72</v>
      </c>
      <c r="G2">
        <v>172.98</v>
      </c>
      <c r="H2">
        <v>175</v>
      </c>
      <c r="I2">
        <v>175</v>
      </c>
    </row>
    <row r="3" spans="1:9">
      <c r="A3" t="s">
        <v>43</v>
      </c>
      <c r="B3" t="s">
        <v>56</v>
      </c>
      <c r="C3">
        <v>3</v>
      </c>
      <c r="D3">
        <v>147.67333333333332</v>
      </c>
      <c r="E3">
        <v>26.313316653993546</v>
      </c>
      <c r="F3">
        <v>125.05</v>
      </c>
      <c r="G3">
        <v>176.55</v>
      </c>
      <c r="H3">
        <v>175</v>
      </c>
      <c r="I3">
        <v>175</v>
      </c>
    </row>
    <row r="4" spans="1:9">
      <c r="A4" t="s">
        <v>43</v>
      </c>
      <c r="B4" t="s">
        <v>67</v>
      </c>
      <c r="C4">
        <v>3</v>
      </c>
      <c r="D4">
        <v>147.30333333333334</v>
      </c>
      <c r="E4">
        <v>18.129021852635443</v>
      </c>
      <c r="F4">
        <v>126.37</v>
      </c>
      <c r="G4">
        <v>157.86000000000001</v>
      </c>
      <c r="H4">
        <v>175</v>
      </c>
      <c r="I4">
        <v>175</v>
      </c>
    </row>
    <row r="5" spans="1:9">
      <c r="A5" t="s">
        <v>50</v>
      </c>
      <c r="B5" t="s">
        <v>39</v>
      </c>
      <c r="C5">
        <v>3</v>
      </c>
      <c r="D5">
        <v>52.816666666666663</v>
      </c>
      <c r="E5">
        <v>2.9323085331072103</v>
      </c>
      <c r="F5">
        <v>51.01</v>
      </c>
      <c r="G5">
        <v>56.2</v>
      </c>
      <c r="H5">
        <v>175</v>
      </c>
      <c r="I5">
        <v>175</v>
      </c>
    </row>
    <row r="6" spans="1:9">
      <c r="A6" t="s">
        <v>50</v>
      </c>
      <c r="B6" t="s">
        <v>56</v>
      </c>
      <c r="C6">
        <v>3</v>
      </c>
      <c r="D6">
        <v>46.563333333333333</v>
      </c>
      <c r="E6">
        <v>4.6001014481566962</v>
      </c>
      <c r="F6">
        <v>41.69</v>
      </c>
      <c r="G6">
        <v>50.83</v>
      </c>
      <c r="H6">
        <v>175</v>
      </c>
      <c r="I6">
        <v>175</v>
      </c>
    </row>
    <row r="7" spans="1:9">
      <c r="A7" t="s">
        <v>50</v>
      </c>
      <c r="B7" t="s">
        <v>67</v>
      </c>
      <c r="C7">
        <v>3</v>
      </c>
      <c r="D7">
        <v>48.669999999999995</v>
      </c>
      <c r="E7">
        <v>4.3082595093610596</v>
      </c>
      <c r="F7">
        <v>44.57</v>
      </c>
      <c r="G7">
        <v>53.16</v>
      </c>
      <c r="H7">
        <v>175</v>
      </c>
      <c r="I7">
        <v>175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zoomScale="85" zoomScaleNormal="85" workbookViewId="0">
      <selection activeCell="D28" sqref="D28"/>
    </sheetView>
  </sheetViews>
  <sheetFormatPr defaultRowHeight="13.8"/>
  <cols>
    <col min="1" max="1" width="9.69921875" customWidth="1"/>
    <col min="2" max="2" width="6.5" customWidth="1"/>
    <col min="3" max="3" width="19.59765625" customWidth="1"/>
    <col min="4" max="4" width="10.19921875" customWidth="1"/>
    <col min="5" max="5" width="10.69921875" customWidth="1"/>
    <col min="6" max="6" width="10.19921875" customWidth="1"/>
    <col min="7" max="7" width="10.59765625" customWidth="1"/>
    <col min="8" max="8" width="11.19921875" customWidth="1"/>
  </cols>
  <sheetData>
    <row r="1" spans="1:8" ht="27.6">
      <c r="A1" s="3" t="s">
        <v>25</v>
      </c>
      <c r="B1" s="3" t="s">
        <v>26</v>
      </c>
      <c r="C1" s="3" t="s">
        <v>28</v>
      </c>
      <c r="D1" s="3" t="s">
        <v>202</v>
      </c>
      <c r="E1" s="3" t="s">
        <v>203</v>
      </c>
      <c r="F1" s="3" t="s">
        <v>204</v>
      </c>
      <c r="G1" s="3" t="s">
        <v>205</v>
      </c>
      <c r="H1" s="3" t="s">
        <v>206</v>
      </c>
    </row>
    <row r="2" spans="1:8">
      <c r="A2" t="s">
        <v>43</v>
      </c>
      <c r="B2" t="s">
        <v>39</v>
      </c>
      <c r="C2" t="s">
        <v>47</v>
      </c>
      <c r="D2">
        <v>1.6195348837209302</v>
      </c>
      <c r="E2">
        <v>65.3</v>
      </c>
      <c r="F2">
        <v>126.84300879069767</v>
      </c>
      <c r="G2">
        <v>894.73400000000004</v>
      </c>
      <c r="H2">
        <v>215</v>
      </c>
    </row>
    <row r="3" spans="1:8">
      <c r="A3" t="s">
        <v>43</v>
      </c>
      <c r="B3" t="s">
        <v>39</v>
      </c>
      <c r="C3" t="s">
        <v>44</v>
      </c>
      <c r="D3">
        <v>69.833509234828497</v>
      </c>
      <c r="E3">
        <v>209.8</v>
      </c>
      <c r="F3">
        <v>728.93539044854879</v>
      </c>
      <c r="G3">
        <v>1825.6518900000001</v>
      </c>
      <c r="H3">
        <v>379</v>
      </c>
    </row>
    <row r="4" spans="1:8">
      <c r="A4" t="s">
        <v>43</v>
      </c>
      <c r="B4" t="s">
        <v>56</v>
      </c>
      <c r="C4" t="s">
        <v>47</v>
      </c>
      <c r="D4">
        <v>1.4257777777777778</v>
      </c>
      <c r="E4">
        <v>61.5</v>
      </c>
      <c r="F4">
        <v>139.56854275555557</v>
      </c>
      <c r="G4">
        <v>563.81299999999999</v>
      </c>
      <c r="H4">
        <v>225</v>
      </c>
    </row>
    <row r="5" spans="1:8">
      <c r="A5" t="s">
        <v>43</v>
      </c>
      <c r="B5" t="s">
        <v>56</v>
      </c>
      <c r="C5" t="s">
        <v>44</v>
      </c>
      <c r="D5">
        <v>91.633025404157038</v>
      </c>
      <c r="E5">
        <v>526.5</v>
      </c>
      <c r="F5">
        <v>541.73380775981525</v>
      </c>
      <c r="G5">
        <v>816.85951999999997</v>
      </c>
      <c r="H5">
        <v>433</v>
      </c>
    </row>
    <row r="6" spans="1:8">
      <c r="A6" t="s">
        <v>43</v>
      </c>
      <c r="B6" t="s">
        <v>67</v>
      </c>
      <c r="C6" t="s">
        <v>47</v>
      </c>
      <c r="D6">
        <v>1.069683257918552</v>
      </c>
      <c r="E6">
        <v>73.400000000000006</v>
      </c>
      <c r="F6">
        <v>147.57551009049774</v>
      </c>
      <c r="G6">
        <v>1085.8706200000001</v>
      </c>
      <c r="H6">
        <v>221</v>
      </c>
    </row>
    <row r="7" spans="1:8">
      <c r="A7" t="s">
        <v>43</v>
      </c>
      <c r="B7" t="s">
        <v>67</v>
      </c>
      <c r="C7" t="s">
        <v>44</v>
      </c>
      <c r="D7">
        <v>77.51420118343195</v>
      </c>
      <c r="E7">
        <v>193.6</v>
      </c>
      <c r="F7">
        <v>1119.9092260207101</v>
      </c>
      <c r="G7">
        <v>1780.9813000000001</v>
      </c>
      <c r="H7">
        <v>338</v>
      </c>
    </row>
    <row r="8" spans="1:8">
      <c r="A8" t="s">
        <v>38</v>
      </c>
      <c r="B8" t="s">
        <v>39</v>
      </c>
      <c r="C8" t="s">
        <v>40</v>
      </c>
      <c r="D8">
        <v>335.27291666666667</v>
      </c>
      <c r="E8">
        <v>741.1</v>
      </c>
      <c r="F8">
        <v>895.27745770833326</v>
      </c>
      <c r="G8">
        <v>2009.2812799999999</v>
      </c>
      <c r="H8">
        <v>48</v>
      </c>
    </row>
    <row r="9" spans="1:8">
      <c r="A9" t="s">
        <v>38</v>
      </c>
      <c r="B9" t="s">
        <v>56</v>
      </c>
      <c r="C9" t="s">
        <v>40</v>
      </c>
      <c r="D9">
        <v>340.15625</v>
      </c>
      <c r="E9">
        <v>748</v>
      </c>
      <c r="F9">
        <v>704.0011018749999</v>
      </c>
      <c r="G9">
        <v>2025.9880900000001</v>
      </c>
      <c r="H9">
        <v>80</v>
      </c>
    </row>
    <row r="10" spans="1:8">
      <c r="A10" t="s">
        <v>38</v>
      </c>
      <c r="B10" t="s">
        <v>67</v>
      </c>
      <c r="C10" t="s">
        <v>40</v>
      </c>
      <c r="D10">
        <v>332.93</v>
      </c>
      <c r="E10">
        <v>724.8</v>
      </c>
      <c r="F10">
        <v>835.22297325</v>
      </c>
      <c r="G10">
        <v>2017.45624</v>
      </c>
      <c r="H10">
        <v>20</v>
      </c>
    </row>
    <row r="11" spans="1:8">
      <c r="A11" t="s">
        <v>50</v>
      </c>
      <c r="B11" t="s">
        <v>39</v>
      </c>
      <c r="C11" t="s">
        <v>47</v>
      </c>
      <c r="D11">
        <v>3.0289156626506024</v>
      </c>
      <c r="E11">
        <v>73.900000000000006</v>
      </c>
      <c r="F11">
        <v>122.81861668674699</v>
      </c>
      <c r="G11">
        <v>970.81212000000005</v>
      </c>
      <c r="H11">
        <v>83</v>
      </c>
    </row>
    <row r="12" spans="1:8">
      <c r="A12" t="s">
        <v>50</v>
      </c>
      <c r="B12" t="s">
        <v>39</v>
      </c>
      <c r="C12" t="s">
        <v>51</v>
      </c>
      <c r="D12">
        <v>81.453535353535344</v>
      </c>
      <c r="E12">
        <v>473.4</v>
      </c>
      <c r="F12">
        <v>711.92535962121212</v>
      </c>
      <c r="G12">
        <v>1192.34502</v>
      </c>
      <c r="H12">
        <v>198</v>
      </c>
    </row>
    <row r="13" spans="1:8">
      <c r="A13" t="s">
        <v>50</v>
      </c>
      <c r="B13" t="s">
        <v>56</v>
      </c>
      <c r="C13" t="s">
        <v>47</v>
      </c>
      <c r="D13">
        <v>3.7129870129870128</v>
      </c>
      <c r="E13">
        <v>66.900000000000006</v>
      </c>
      <c r="F13">
        <v>152.07995461038962</v>
      </c>
      <c r="G13">
        <v>597.01512000000002</v>
      </c>
      <c r="H13">
        <v>77</v>
      </c>
    </row>
    <row r="14" spans="1:8">
      <c r="A14" t="s">
        <v>50</v>
      </c>
      <c r="B14" t="s">
        <v>56</v>
      </c>
      <c r="C14" t="s">
        <v>51</v>
      </c>
      <c r="D14">
        <v>122.03215859030837</v>
      </c>
      <c r="E14">
        <v>710.4</v>
      </c>
      <c r="F14">
        <v>684.66119237885459</v>
      </c>
      <c r="G14">
        <v>848.34384999999997</v>
      </c>
      <c r="H14">
        <v>227</v>
      </c>
    </row>
    <row r="15" spans="1:8">
      <c r="A15" t="s">
        <v>50</v>
      </c>
      <c r="B15" t="s">
        <v>67</v>
      </c>
      <c r="C15" t="s">
        <v>47</v>
      </c>
      <c r="D15">
        <v>2.9948717948717949</v>
      </c>
      <c r="E15">
        <v>71</v>
      </c>
      <c r="F15">
        <v>167.16522730769231</v>
      </c>
      <c r="G15">
        <v>1130.57312</v>
      </c>
      <c r="H15">
        <v>78</v>
      </c>
    </row>
    <row r="16" spans="1:8">
      <c r="A16" t="s">
        <v>50</v>
      </c>
      <c r="B16" t="s">
        <v>67</v>
      </c>
      <c r="C16" t="s">
        <v>51</v>
      </c>
      <c r="D16">
        <v>78.722377622377621</v>
      </c>
      <c r="E16">
        <v>271.10000000000002</v>
      </c>
      <c r="F16">
        <v>969.66829405594399</v>
      </c>
      <c r="G16">
        <v>1486.1706199999999</v>
      </c>
      <c r="H16">
        <v>143</v>
      </c>
    </row>
    <row r="17" spans="1:8">
      <c r="A17" t="s">
        <v>33</v>
      </c>
      <c r="B17" t="s">
        <v>34</v>
      </c>
      <c r="C17" t="s">
        <v>35</v>
      </c>
      <c r="D17">
        <v>15.799999999999999</v>
      </c>
      <c r="E17">
        <v>31.599999999999998</v>
      </c>
      <c r="F17">
        <v>79.906254999999987</v>
      </c>
      <c r="G17">
        <v>134.64062999999999</v>
      </c>
      <c r="H17">
        <v>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/>
  </sheetViews>
  <sheetFormatPr defaultRowHeight="13.8"/>
  <cols>
    <col min="1" max="2" width="34" customWidth="1"/>
    <col min="3" max="3" width="88" customWidth="1"/>
  </cols>
  <sheetData>
    <row r="1" spans="1:3">
      <c r="A1" s="3" t="s">
        <v>207</v>
      </c>
      <c r="B1" s="3" t="s">
        <v>208</v>
      </c>
      <c r="C1" s="3" t="s">
        <v>209</v>
      </c>
    </row>
    <row r="2" spans="1:3">
      <c r="A2" t="s">
        <v>210</v>
      </c>
      <c r="B2" t="s">
        <v>211</v>
      </c>
      <c r="C2" t="s">
        <v>212</v>
      </c>
    </row>
    <row r="3" spans="1:3">
      <c r="A3" t="s">
        <v>213</v>
      </c>
      <c r="B3" t="s">
        <v>214</v>
      </c>
      <c r="C3" t="s">
        <v>215</v>
      </c>
    </row>
    <row r="4" spans="1:3">
      <c r="A4" t="s">
        <v>213</v>
      </c>
      <c r="B4" t="s">
        <v>216</v>
      </c>
      <c r="C4" t="s">
        <v>217</v>
      </c>
    </row>
    <row r="5" spans="1:3">
      <c r="A5" t="s">
        <v>218</v>
      </c>
      <c r="B5" t="s">
        <v>219</v>
      </c>
      <c r="C5" t="s">
        <v>220</v>
      </c>
    </row>
    <row r="6" spans="1:3">
      <c r="A6" t="s">
        <v>221</v>
      </c>
      <c r="B6" t="s">
        <v>222</v>
      </c>
      <c r="C6" t="s">
        <v>223</v>
      </c>
    </row>
    <row r="7" spans="1:3">
      <c r="A7" t="s">
        <v>221</v>
      </c>
      <c r="B7" t="s">
        <v>224</v>
      </c>
      <c r="C7" t="s">
        <v>225</v>
      </c>
    </row>
    <row r="8" spans="1:3">
      <c r="A8" t="s">
        <v>226</v>
      </c>
      <c r="B8" t="s">
        <v>227</v>
      </c>
      <c r="C8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Raw Scenario Times</vt:lpstr>
      <vt:lpstr>Run Totals</vt:lpstr>
      <vt:lpstr>Runtime Summary</vt:lpstr>
      <vt:lpstr>Phase Summary</vt:lpstr>
      <vt:lpstr>Improvement Summary</vt:lpstr>
      <vt:lpstr>Dashboard</vt:lpstr>
      <vt:lpstr>Spark Metrics Summary</vt:lpstr>
      <vt:lpstr>DBT Mart Summary</vt:lpstr>
      <vt:lpstr>Resource Summary</vt:lpstr>
      <vt:lpstr>Formula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Luthfan Aryananda Purwito</cp:lastModifiedBy>
  <dcterms:modified xsi:type="dcterms:W3CDTF">2026-06-26T04:23:58Z</dcterms:modified>
</cp:coreProperties>
</file>